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4b9675eed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ЖЕНСКИ И МЪЖКИ ДРЕХИ" sheetId="1" r:id="R30e5ca3256004481"/>
    <x:sheet xmlns:r="http://schemas.openxmlformats.org/officeDocument/2006/relationships" name="ДЕЦКИ ДРЕХИ" sheetId="2" r:id="R9fffbfa754fa4bba"/>
    <x:sheet xmlns:r="http://schemas.openxmlformats.org/officeDocument/2006/relationships" name="PRICE AUDIT" sheetId="3" r:id="R5e7a8c4dd3f2444c"/>
    <x:sheet xmlns:r="http://schemas.openxmlformats.org/officeDocument/2006/relationships" name="NAME AUDIT" sheetId="4" r:id="Rc1653dc016da4cce"/>
  </x:sheets>
</x:workbook>
</file>

<file path=xl/sharedStrings.xml><?xml version="1.0" encoding="utf-8"?>
<x:sst xmlns:x="http://schemas.openxmlformats.org/spreadsheetml/2006/main">
  <x:si>
    <x:t xml:space="preserve">ЖЕНСКИ И МЪЖКИ ДРЕХИ</x:t>
  </x:si>
  <x:si>
    <x:t xml:space="preserve">НАПИШИ СЪЩО КОЯ ДРЕХА Е ЗА МЪЖ И КОЯ ЗА ЖЕНА</x:t>
  </x:si>
  <x:si>
    <x:t xml:space="preserve">Item Name</x:t>
  </x:si>
  <x:si>
    <x:t xml:space="preserve">Item Variant</x:t>
  </x:si>
  <x:si>
    <x:t xml:space="preserve">Item Color</x:t>
  </x:si>
  <x:si>
    <x:t xml:space="preserve">Item Size</x:t>
  </x:si>
  <x:si>
    <x:t xml:space="preserve">Item Original Price</x:t>
  </x:si>
  <x:si>
    <x:t xml:space="preserve">Item Current Price</x:t>
  </x:si>
  <x:si>
    <x:t xml:space="preserve">Item Picture</x:t>
  </x:si>
  <x:si>
    <x:t xml:space="preserve">НАПИШИ СЪЩО ДАЛИ ДРЕХАТА Е ПРОДАДЕНА, ЗА ДА ЗНАМ ДА НЕ Я ДОБАВЯМ</x:t>
  </x:si>
  <x:si>
    <x:t xml:space="preserve">Розов</x:t>
  </x:si>
  <x:si>
    <x:t xml:space="preserve">L</x:t>
  </x:si>
  <x:si>
    <x:t xml:space="preserve">женски</x:t>
  </x:si>
  <x:si>
    <x:t xml:space="preserve">женска</x:t>
  </x:si>
  <x:si>
    <x:t xml:space="preserve">XL</x:t>
  </x:si>
  <x:si>
    <x:t xml:space="preserve">женски/унисекс</x:t>
  </x:si>
  <x:si>
    <x:t xml:space="preserve">L / XL</x:t>
  </x:si>
  <x:si>
    <x:t xml:space="preserve">Зелена</x:t>
  </x:si>
  <x:si>
    <x:t xml:space="preserve">S</x:t>
  </x:si>
  <x:si>
    <x:t xml:space="preserve">Бяло и черно</x:t>
  </x:si>
  <x:si>
    <x:t xml:space="preserve">M / L</x:t>
  </x:si>
  <x:si>
    <x:t xml:space="preserve">женско -  ( кака ти си го присвои бялото ) имаме само черното</x:t>
  </x:si>
  <x:si>
    <x:t xml:space="preserve">Розова</x:t>
  </x:si>
  <x:si>
    <x:t xml:space="preserve">женска - продадена </x:t>
  </x:si>
  <x:si>
    <x:t xml:space="preserve">XXXL</x:t>
  </x:si>
  <x:si>
    <x:t xml:space="preserve">женска </x:t>
  </x:si>
  <x:si>
    <x:t xml:space="preserve">женско</x:t>
  </x:si>
  <x:si>
    <x:t xml:space="preserve">Шарени цветя</x:t>
  </x:si>
  <x:si>
    <x:t xml:space="preserve">женско - продадена</x:t>
  </x:si>
  <x:si>
    <x:t xml:space="preserve">Зелени Цветя</x:t>
  </x:si>
  <x:si>
    <x:t xml:space="preserve">M </x:t>
  </x:si>
  <x:si>
    <x:t xml:space="preserve">Шарена</x:t>
  </x:si>
  <x:si>
    <x:t xml:space="preserve">M</x:t>
  </x:si>
  <x:si>
    <x:t xml:space="preserve">продадена </x:t>
  </x:si>
  <x:si>
    <x:t xml:space="preserve">Сини</x:t>
  </x:si>
  <x:si>
    <x:t xml:space="preserve">женски - продадени </x:t>
  </x:si>
  <x:si>
    <x:t xml:space="preserve">Синя</x:t>
  </x:si>
  <x:si>
    <x:t xml:space="preserve">XXL</x:t>
  </x:si>
  <x:si>
    <x:t xml:space="preserve">Зелен</x:t>
  </x:si>
  <x:si>
    <x:t xml:space="preserve">Жълт</x:t>
  </x:si>
  <x:si>
    <x:t xml:space="preserve">XS</x:t>
  </x:si>
  <x:si>
    <x:t xml:space="preserve">продаден</x:t>
  </x:si>
  <x:si>
    <x:t xml:space="preserve">Лилаво</x:t>
  </x:si>
  <x:si>
    <x:t xml:space="preserve">синя</x:t>
  </x:si>
  <x:si>
    <x:t xml:space="preserve">женска ( кака ти си я хареса и взе много е нагла )</x:t>
  </x:si>
  <x:si>
    <x:t xml:space="preserve">Червена</x:t>
  </x:si>
  <x:si>
    <x:t xml:space="preserve">Черна</x:t>
  </x:si>
  <x:si>
    <x:t xml:space="preserve">продадена</x:t>
  </x:si>
  <x:si>
    <x:t xml:space="preserve">Черни</x:t>
  </x:si>
  <x:si>
    <x:t xml:space="preserve">Кожена/Черна</x:t>
  </x:si>
  <x:si>
    <x:t xml:space="preserve">XXS</x:t>
  </x:si>
  <x:si>
    <x:t xml:space="preserve">Зелено</x:t>
  </x:si>
  <x:si>
    <x:t xml:space="preserve">унисекс е</x:t>
  </x:si>
  <x:si>
    <x:t xml:space="preserve">М</x:t>
  </x:si>
  <x:si>
    <x:t xml:space="preserve">женски къси гащи</x:t>
  </x:si>
  <x:si>
    <x:t xml:space="preserve">Син</x:t>
  </x:si>
  <x:si>
    <x:t xml:space="preserve">продаден на майка да се кефи</x:t>
  </x:si>
  <x:si>
    <x:t xml:space="preserve">XS / S</x:t>
  </x:si>
  <x:si>
    <x:t xml:space="preserve">продадени</x:t>
  </x:si>
  <x:si>
    <x:t xml:space="preserve">лилава</x:t>
  </x:si>
  <x:si>
    <x:t xml:space="preserve">На Цветя</x:t>
  </x:si>
  <x:si>
    <x:t xml:space="preserve">женски-това не знам какво е не го намираме</x:t>
  </x:si>
  <x:si>
    <x:t xml:space="preserve">42 XL</x:t>
  </x:si>
  <x:si>
    <x:t xml:space="preserve">XXXXL</x:t>
  </x:si>
  <x:si>
    <x:t xml:space="preserve">Черна С Шарени Цветя</x:t>
  </x:si>
  <x:si>
    <x:t xml:space="preserve">Drei Master</x:t>
  </x:si>
  <x:si>
    <x:t xml:space="preserve">Черен</x:t>
  </x:si>
  <x:si>
    <x:t xml:space="preserve">жеснко</x:t>
  </x:si>
  <x:si>
    <x:t xml:space="preserve">На Точки</x:t>
  </x:si>
  <x:si>
    <x:t xml:space="preserve">Чернo</x:t>
  </x:si>
  <x:si>
    <x:t xml:space="preserve">черна</x:t>
  </x:si>
  <x:si>
    <x:t xml:space="preserve">Черно</x:t>
  </x:si>
  <x:si>
    <x:t xml:space="preserve">кака ти си го взе </x:t>
  </x:si>
  <x:si>
    <x:t xml:space="preserve">TOTAL SELL PRICE</x:t>
  </x:si>
  <x:si>
    <x:t xml:space="preserve">ДЕЦКИ ДРЕХИ</x:t>
  </x:si>
  <x:si>
    <x:t xml:space="preserve">НАПИШИ СЪЩО КОЯ ДРЕХА Е ЗА МОМЧЕ И КОЯ ЗА МОМИЧЕ</x:t>
  </x:si>
  <x:si>
    <x:t xml:space="preserve">Minoti</x:t>
  </x:si>
  <x:si>
    <x:t xml:space="preserve">Синьо</x:t>
  </x:si>
  <x:si>
    <x:t xml:space="preserve">13/14 г.</x:t>
  </x:si>
  <x:si>
    <x:t xml:space="preserve">момиче</x:t>
  </x:si>
  <x:si>
    <x:t xml:space="preserve">12/18 месеца</x:t>
  </x:si>
  <x:si>
    <x:t xml:space="preserve">Сини?</x:t>
  </x:si>
  <x:si>
    <x:t xml:space="preserve">6/7 г.</x:t>
  </x:si>
  <x:si>
    <x:t xml:space="preserve">момче</x:t>
  </x:si>
  <x:si>
    <x:t xml:space="preserve">Сив С Цветя</x:t>
  </x:si>
  <x:si>
    <x:t xml:space="preserve">8/9 г.</x:t>
  </x:si>
  <x:si>
    <x:t xml:space="preserve">Бяла</x:t>
  </x:si>
  <x:si>
    <x:t xml:space="preserve">2/3 г.</x:t>
  </x:si>
  <x:si>
    <x:t xml:space="preserve">18/24 месеца</x:t>
  </x:si>
  <x:si>
    <x:t xml:space="preserve">Кремов</x:t>
  </x:si>
  <x:si>
    <x:t xml:space="preserve">Бяла STAY COOL</x:t>
  </x:si>
  <x:si>
    <x:t xml:space="preserve">4/5 г.</x:t>
  </x:si>
  <x:si>
    <x:t xml:space="preserve">момче продадена</x:t>
  </x:si>
  <x:si>
    <x:t xml:space="preserve">Синя?</x:t>
  </x:si>
  <x:si>
    <x:t xml:space="preserve">Розово</x:t>
  </x:si>
  <x:si>
    <x:t xml:space="preserve">момиче </x:t>
  </x:si>
  <x:si>
    <x:t xml:space="preserve">Бяло С Дъгички</x:t>
  </x:si>
  <x:si>
    <x:t xml:space="preserve">Зелено С Бели Точки</x:t>
  </x:si>
  <x:si>
    <x:t xml:space="preserve">Леопардово</x:t>
  </x:si>
  <x:si>
    <x:t xml:space="preserve">3/4 г.</x:t>
  </x:si>
  <x:si>
    <x:t xml:space="preserve">момиче продадени</x:t>
  </x:si>
  <x:si>
    <x:t xml:space="preserve">Синьо С Ламички (LLAMA)</x:t>
  </x:si>
  <x:si>
    <x:t xml:space="preserve">момиче продадено</x:t>
  </x:si>
  <x:si>
    <x:t xml:space="preserve">Розов с Цветенца</x:t>
  </x:si>
  <x:si>
    <x:t xml:space="preserve">Сив</x:t>
  </x:si>
  <x:si>
    <x:t xml:space="preserve">3/6 месеца</x:t>
  </x:si>
  <x:si>
    <x:t xml:space="preserve">С Лимони</x:t>
  </x:si>
  <x:si>
    <x:t xml:space="preserve">Леопардова</x:t>
  </x:si>
  <x:si>
    <x:t xml:space="preserve">Бели</x:t>
  </x:si>
  <x:si>
    <x:t xml:space="preserve">Бяла С Цветенца</x:t>
  </x:si>
  <x:si>
    <x:t xml:space="preserve">5/6 г.</x:t>
  </x:si>
  <x:si>
    <x:t xml:space="preserve">унисекс не знам </x:t>
  </x:si>
  <x:si>
    <x:t xml:space="preserve">Шарено Синьо</x:t>
  </x:si>
  <x:si>
    <x:t xml:space="preserve">4/5 г. + 7/8 г.</x:t>
  </x:si>
  <x:si>
    <x:t xml:space="preserve">момче но за 4/5г е продадено </x:t>
  </x:si>
  <x:si>
    <x:t xml:space="preserve">Бяла С Черни Точки</x:t>
  </x:si>
  <x:si>
    <x:t xml:space="preserve">9/12 месеца</x:t>
  </x:si>
  <x:si>
    <x:t xml:space="preserve">Черно Мъжко</x:t>
  </x:si>
  <x:si>
    <x:t xml:space="preserve">Сива</x:t>
  </x:si>
  <x:si>
    <x:t xml:space="preserve">Бяла Venice Beach</x:t>
  </x:si>
  <x:si>
    <x:t xml:space="preserve">комплект за момичета</x:t>
  </x:si>
  <x:si>
    <x:t xml:space="preserve">комплект за момчета</x:t>
  </x:si>
  <x:si>
    <x:t xml:space="preserve">Розова Feeling Happy</x:t>
  </x:si>
  <x:si>
    <x:t xml:space="preserve">Лилаво Леопардово</x:t>
  </x:si>
  <x:si>
    <x:t xml:space="preserve">Зелено С Черна Точка</x:t>
  </x:si>
  <x:si>
    <x:t xml:space="preserve">Америка</x:t>
  </x:si>
  <x:si>
    <x:t xml:space="preserve">момче </x:t>
  </x:si>
  <x:si>
    <x:t xml:space="preserve">10/11 г.</x:t>
  </x:si>
  <x:si>
    <x:t xml:space="preserve">Новородено 50см</x:t>
  </x:si>
  <x:si>
    <x:t xml:space="preserve">0/3 месеца</x:t>
  </x:si>
  <x:si>
    <x:t xml:space="preserve">2 шапки за момчета</x:t>
  </x:si>
  <x:si>
    <x:t xml:space="preserve">Бяла Със Сърце</x:t>
  </x:si>
  <x:si>
    <x:t xml:space="preserve">момиче продадена</x:t>
  </x:si>
  <x:si>
    <x:t xml:space="preserve">Дънкова</x:t>
  </x:si>
  <x:si>
    <x:t xml:space="preserve">комплект</x:t>
  </x:si>
  <x:si>
    <x:t xml:space="preserve">целия пакет за момчета</x:t>
  </x:si>
  <x:si>
    <x:t xml:space="preserve">6/9 месеца</x:t>
  </x:si>
  <x:si>
    <x:t xml:space="preserve">Тигров</x:t>
  </x:si>
  <x:si>
    <x:t xml:space="preserve">1/2 г.</x:t>
  </x:si>
  <x:si>
    <x:t xml:space="preserve">6/12 месеца</x:t>
  </x:si>
  <x:si>
    <x:t xml:space="preserve">Синя С Цветя</x:t>
  </x:si>
  <x:si>
    <x:t xml:space="preserve">11/12 г.</x:t>
  </x:si>
  <x:si>
    <x:t xml:space="preserve">7/8 г.</x:t>
  </x:si>
  <x:si>
    <x:t xml:space="preserve">ПО 5 ЕВРО ЕДНОТО ?</x:t>
  </x:si>
  <x:si>
    <x:t xml:space="preserve">Розова GOOD VIBE</x:t>
  </x:si>
  <x:si>
    <x:t xml:space="preserve">Войнишка Шарка</x:t>
  </x:si>
  <x:si>
    <x:t xml:space="preserve">Бяла Basketball</x:t>
  </x:si>
  <x:si>
    <x:t xml:space="preserve">Дънкови</x:t>
  </x:si>
  <x:si>
    <x:t xml:space="preserve">Червено</x:t>
  </x:si>
  <x:si>
    <x:t xml:space="preserve">9/10 г.</x:t>
  </x:si>
  <x:si>
    <x:t xml:space="preserve">Сиво Със Сърце</x:t>
  </x:si>
  <x:si>
    <x:t xml:space="preserve">Сиво </x:t>
  </x:si>
  <x:si>
    <x:t xml:space="preserve">Сива С Бели Точки</x:t>
  </x:si>
  <x:si>
    <x:t xml:space="preserve">Черно С Бели Надписи</x:t>
  </x:si>
  <x:si>
    <x:t xml:space="preserve">Зелено С Шарки</x:t>
  </x:si>
  <x:si>
    <x:t xml:space="preserve">0/6 месеца</x:t>
  </x:si>
  <x:si>
    <x:t xml:space="preserve"> 3 евро 2 всичко за момиче</x:t>
  </x:si>
  <x:si>
    <x:t xml:space="preserve">Синьо-Бяла</x:t>
  </x:si>
  <x:si>
    <x:t xml:space="preserve">всичко за 3 евро за момиче</x:t>
  </x:si>
  <x:si>
    <x:t xml:space="preserve">Синя С Тигър</x:t>
  </x:si>
  <x:si>
    <x:t xml:space="preserve">Синьо-Бял</x:t>
  </x:si>
  <x:si>
    <x:t xml:space="preserve">Сива С Розова Ябълка</x:t>
  </x:si>
  <x:si>
    <x:t xml:space="preserve">Лилаво Леопардов</x:t>
  </x:si>
  <x:si>
    <x:t xml:space="preserve">Бяла Adventure</x:t>
  </x:si>
  <x:si>
    <x:t xml:space="preserve">Черна С Бяло Сърце</x:t>
  </x:si>
  <x:si>
    <x:t xml:space="preserve">Оранжева</x:t>
  </x:si>
  <x:si>
    <x:t xml:space="preserve">Черно С Червени Връзки</x:t>
  </x:si>
  <x:si>
    <x:t xml:space="preserve">Светло Синя</x:t>
  </x:si>
  <x:si>
    <x:t xml:space="preserve">всичко за 5 евро</x:t>
  </x:si>
</x:sst>
</file>

<file path=xl/styles.xml><?xml version="1.0" encoding="utf-8"?>
<x:styleSheet xmlns:x="http://schemas.openxmlformats.org/spreadsheetml/2006/main">
  <x:numFmts count="4">
    <x:numFmt numFmtId="164" formatCode="&quot;€&quot;\ #,##0.00"/>
    <x:numFmt numFmtId="165" formatCode="_ &quot;€&quot;\ * #,##0.00_ ;_ &quot;€&quot;\ * \-#,##0.00_ ;_ &quot;€&quot;\ * &quot;-&quot;??_ ;_ @_ "/>
    <x:numFmt numFmtId="200" formatCode="0%"/>
    <x:numFmt numFmtId="201" formatCode="€ 0.00"/>
  </x:numFmts>
  <x:fonts count="11">
    <x:font>
      <x:sz val="11"/>
      <x:color rgb="FF000000"/>
      <x:name val="Arial"/>
    </x:font>
    <x:font>
      <x:sz val="11"/>
      <x:color theme="1"/>
      <x:name val="Calibri"/>
    </x:font>
    <x:font>
      <x:sz val="11"/>
      <x:name val="Arial"/>
    </x:font>
    <x:font>
      <x:sz val="11"/>
      <x:color rgb="FFFF0000"/>
      <x:name val="Calibri"/>
    </x:font>
    <x:font>
      <x:sz val="11"/>
      <x:color theme="1"/>
      <x:name val="Arial"/>
    </x:font>
    <x:font>
      <x:b/>
      <x:sz val="11"/>
      <x:color rgb="FF111111"/>
      <x:name val="Arial"/>
    </x:font>
    <x:font>
      <x:b/>
      <x:sz val="16"/>
      <x:color rgb="FFD5A94E"/>
      <x:name val="Arial"/>
    </x:font>
    <x:font>
      <x:b/>
      <x:sz val="12"/>
      <x:color rgb="FF000000"/>
      <x:name val="Arial"/>
    </x:font>
    <x:font>
      <x:b/>
      <x:sz val="11"/>
      <x:color rgb="FF7A5415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D9EAF7"/>
      </x:patternFill>
    </x:fill>
    <x:fill>
      <x:patternFill patternType="solid">
        <x:fgColor rgb="FF111111"/>
      </x:patternFill>
    </x:fill>
    <x:fill>
      <x:patternFill patternType="solid">
        <x:fgColor rgb="FFD5A94E"/>
      </x:patternFill>
    </x:fill>
    <x:fill>
      <x:patternFill patternType="solid">
        <x:fgColor rgb="FFF3EEE5"/>
      </x:patternFill>
    </x:fill>
    <x:fill>
      <x:patternFill patternType="solid">
        <x:fgColor rgb="FF111111"/>
      </x:patternFill>
    </x:fill>
  </x:fills>
  <x:borders count="62">
    <x:border/>
    <x:border>
      <x:left style="medium">
        <x:color rgb="FF000000"/>
      </x:lef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/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</x:border>
    <x:border>
      <x:left style="medium">
        <x:color rgb="FF000000"/>
      </x:left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left style="medium">
        <x:color rgb="FF000000"/>
      </x:left>
      <x:right style="medium">
        <x:color rgb="FF000000"/>
      </x:righ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/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</x:border>
    <x:border>
      <x:left style="medium">
        <x:color rgb="FF000000"/>
      </x:left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left style="medium">
        <x:color rgb="FF000000"/>
      </x:left>
      <x:right style="medium">
        <x:color rgb="FF000000"/>
      </x:righ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/>
    <x:border/>
  </x:borders>
  <x:cellStyleXfs count="1">
    <x:xf numFmtId="0" fontId="0" fillId="0" borderId="0"/>
  </x:cellStyleXfs>
  <x:cellXfs count="232">
    <x:xf numFmtId="0" fontId="0" fillId="0" borderId="0" xfId="0"/>
    <x:xf numFmtId="0" fontId="3" fillId="2" borderId="7" xfId="0" applyFont="1" applyFill="1" applyBorder="1"/>
    <x:xf numFmtId="0" fontId="1" fillId="0" borderId="8" xfId="0" applyFont="1" applyBorder="1"/>
    <x:xf numFmtId="0" fontId="1" fillId="0" borderId="2" xfId="0" applyFont="1" applyBorder="1"/>
    <x:xf numFmtId="0" fontId="1" fillId="0" borderId="9" xfId="0" applyFont="1" applyBorder="1"/>
    <x:xf numFmtId="0" fontId="1" fillId="0" borderId="10" xfId="0" applyFont="1" applyBorder="1"/>
    <x:xf numFmtId="0" fontId="1" fillId="0" borderId="4" xfId="0" applyFont="1" applyBorder="1"/>
    <x:xf numFmtId="0" fontId="1" fillId="0" borderId="11" xfId="0" applyFont="1" applyBorder="1"/>
    <x:xf numFmtId="164" fontId="1" fillId="0" borderId="9" xfId="0" applyNumberFormat="1" applyFont="1" applyBorder="1"/>
    <x:xf numFmtId="165" fontId="1" fillId="0" borderId="10" xfId="0" applyNumberFormat="1" applyFont="1" applyBorder="1"/>
    <x:xf numFmtId="0" fontId="1" fillId="0" borderId="12" xfId="0" applyFont="1" applyBorder="1"/>
    <x:xf numFmtId="0" fontId="1" fillId="0" borderId="6" xfId="0" applyFont="1" applyBorder="1"/>
    <x:xf numFmtId="0" fontId="3" fillId="2" borderId="13" xfId="0" applyFont="1" applyFill="1" applyBorder="1"/>
    <x:xf numFmtId="0" fontId="1" fillId="0" borderId="14" xfId="0" applyFont="1" applyBorder="1"/>
    <x:xf numFmtId="0" fontId="1" fillId="0" borderId="15" xfId="0" applyFont="1" applyBorder="1"/>
    <x:xf numFmtId="0" fontId="1" fillId="0" borderId="16" xfId="0" applyFont="1" applyBorder="1"/>
    <x:xf numFmtId="0" fontId="1" fillId="0" borderId="17" xfId="0" applyFont="1" applyBorder="1"/>
    <x:xf numFmtId="0" fontId="1" fillId="0" borderId="18" xfId="0" applyFont="1" applyBorder="1"/>
    <x:xf numFmtId="0" fontId="1" fillId="0" borderId="19" xfId="0" applyFont="1" applyBorder="1"/>
    <x:xf numFmtId="164" fontId="1" fillId="0" borderId="18" xfId="0" applyNumberFormat="1" applyFont="1" applyBorder="1"/>
    <x:xf numFmtId="0" fontId="1" fillId="0" borderId="20" xfId="0" applyFont="1" applyBorder="1"/>
    <x:xf numFmtId="0" fontId="1" fillId="0" borderId="21" xfId="0" applyFont="1" applyBorder="1"/>
    <x:xf numFmtId="0" fontId="4" fillId="0" borderId="0" xfId="0" applyFont="1"/>
    <x:xf numFmtId="165" fontId="1" fillId="0" borderId="18" xfId="0" applyNumberFormat="1" applyFont="1" applyBorder="1"/>
    <x:xf numFmtId="0" fontId="1" fillId="2" borderId="22" xfId="0" applyFont="1" applyFill="1" applyBorder="1"/>
    <x:xf numFmtId="0" fontId="1" fillId="2" borderId="18" xfId="0" applyFont="1" applyFill="1" applyBorder="1"/>
    <x:xf numFmtId="0" fontId="1" fillId="2" borderId="23" xfId="0" applyFont="1" applyFill="1" applyBorder="1"/>
    <x:xf numFmtId="0" fontId="1" fillId="0" borderId="24" xfId="0" applyFont="1" applyBorder="1"/>
    <x:xf numFmtId="0" fontId="1" fillId="0" borderId="25" xfId="0" applyFont="1" applyBorder="1"/>
    <x:xf numFmtId="0" fontId="1" fillId="0" borderId="26" xfId="0" applyFont="1" applyBorder="1"/>
    <x:xf numFmtId="164" fontId="1" fillId="0" borderId="25" xfId="0" applyNumberFormat="1" applyFont="1" applyBorder="1"/>
    <x:xf numFmtId="0" fontId="1" fillId="0" borderId="27" xfId="0" applyFont="1" applyBorder="1"/>
    <x:xf numFmtId="164" fontId="1" fillId="2" borderId="10" xfId="0" applyNumberFormat="1" applyFont="1" applyFill="1" applyBorder="1"/>
    <x:xf numFmtId="0" fontId="1" fillId="0" borderId="0" xfId="0" applyFont="1"/>
    <x:xf numFmtId="164" fontId="1" fillId="0" borderId="0" xfId="0" applyNumberFormat="1" applyFont="1"/>
    <x:xf numFmtId="165" fontId="1" fillId="0" borderId="25" xfId="0" applyNumberFormat="1" applyFont="1" applyBorder="1"/>
    <x:xf numFmtId="0" fontId="1" fillId="0" borderId="28" xfId="0" applyFont="1" applyBorder="1"/>
    <x:xf numFmtId="0" fontId="1" fillId="0" borderId="29" xfId="0" applyFont="1" applyBorder="1"/>
    <x:xf numFmtId="0" fontId="1" fillId="0" borderId="30" xfId="0" applyFont="1" applyBorder="1"/>
    <x:xf numFmtId="165" fontId="1" fillId="0" borderId="29" xfId="0" applyNumberFormat="1" applyFont="1" applyBorder="1"/>
    <x:xf numFmtId="165" fontId="1" fillId="2" borderId="31" xfId="0" applyNumberFormat="1" applyFont="1" applyFill="1" applyBorder="1"/>
    <x:xf numFmtId="165" fontId="1" fillId="0" borderId="0" xfId="0" applyNumberFormat="1" applyFont="1"/>
    <x:xf numFmtId="164" fontId="1" fillId="0" borderId="16" xfId="0" applyNumberFormat="1" applyFont="1" applyBorder="1"/>
    <x:xf numFmtId="165" fontId="1" fillId="0" borderId="18" xfId="0" applyNumberFormat="1" applyFont="1" applyBorder="1" applyAlignment="1">
      <x:alignment horizontal="right"/>
    </x:xf>
    <x:xf numFmtId="165" fontId="1" fillId="0" borderId="18" xfId="0" applyNumberFormat="1" applyFont="1" applyBorder="1" applyAlignment="1">
      <x:alignment horizontal="left"/>
    </x:xf>
    <x:xf numFmtId="165" fontId="1" fillId="0" borderId="16" xfId="0" applyNumberFormat="1" applyFont="1" applyBorder="1" applyAlignment="1">
      <x:alignment horizontal="right"/>
    </x:xf>
    <x:xf numFmtId="0" fontId="4" fillId="0" borderId="7" xfId="0" applyFont="1" applyBorder="1"/>
    <x:xf numFmtId="0" fontId="1" fillId="3" borderId="18" xfId="0" applyFont="1" applyFill="1" applyBorder="1"/>
    <x:xf numFmtId="0" fontId="1" fillId="4" borderId="18" xfId="0" applyFont="1" applyFill="1" applyBorder="1"/>
    <x:xf numFmtId="0" fontId="1" fillId="4" borderId="15" xfId="0" applyFont="1" applyFill="1" applyBorder="1"/>
    <x:xf numFmtId="0" fontId="1" fillId="0" borderId="1" xfId="0" applyFont="1" applyBorder="1" applyAlignment="1">
      <x:alignment horizontal="center"/>
    </x:xf>
    <x:xf numFmtId="0" fontId="2" fillId="0" borderId="3" xfId="0" applyFont="1" applyBorder="1"/>
    <x:xf numFmtId="0" fontId="2" fillId="0" borderId="5" xfId="0" applyFont="1" applyBorder="1"/>
    <x:xf numFmtId="0" fontId="1" fillId="2" borderId="2" xfId="0" applyFont="1" applyFill="1" applyBorder="1" applyAlignment="1">
      <x:alignment horizontal="center"/>
    </x:xf>
    <x:xf numFmtId="0" fontId="2" fillId="0" borderId="4" xfId="0" applyFont="1" applyBorder="1"/>
    <x:xf numFmtId="0" fontId="2" fillId="0" borderId="6" xfId="0" applyFont="1" applyBorder="1"/>
    <x:xf numFmtId="0" fontId="1" fillId="0" borderId="2" xfId="0" applyFont="1" applyBorder="1" applyAlignment="1">
      <x:alignment horizontal="center"/>
    </x:xf>
    <x:xf numFmtId="0" fontId="0" fillId="0" borderId="32" xfId="0" applyNumberFormat="1" applyFont="1" applyFill="1" applyBorder="1"/>
    <x:xf numFmtId="0" fontId="3" fillId="2" borderId="32" xfId="0" applyNumberFormat="1" applyFont="1" applyFill="1" applyBorder="1"/>
    <x:xf numFmtId="0" fontId="1" fillId="0" borderId="33" xfId="0" applyNumberFormat="1" applyFont="1" applyFill="1" applyBorder="1"/>
    <x:xf numFmtId="0" fontId="1" fillId="0" borderId="34" xfId="0" applyNumberFormat="1" applyFont="1" applyFill="1" applyBorder="1"/>
    <x:xf numFmtId="0" fontId="1" fillId="0" borderId="35" xfId="0" applyNumberFormat="1" applyFont="1" applyFill="1" applyBorder="1"/>
    <x:xf numFmtId="0" fontId="1" fillId="0" borderId="36" xfId="0" applyNumberFormat="1" applyFont="1" applyFill="1" applyBorder="1"/>
    <x:xf numFmtId="0" fontId="1" fillId="0" borderId="37" xfId="0" applyNumberFormat="1" applyFont="1" applyFill="1" applyBorder="1"/>
    <x:xf numFmtId="0" fontId="1" fillId="0" borderId="38" xfId="0" applyNumberFormat="1" applyFont="1" applyFill="1" applyBorder="1"/>
    <x:xf numFmtId="164" fontId="1" fillId="0" borderId="35" xfId="0" applyNumberFormat="1" applyFont="1" applyFill="1" applyBorder="1"/>
    <x:xf numFmtId="165" fontId="1" fillId="0" borderId="36" xfId="0" applyNumberFormat="1" applyFont="1" applyFill="1" applyBorder="1"/>
    <x:xf numFmtId="0" fontId="1" fillId="0" borderId="39" xfId="0" applyNumberFormat="1" applyFont="1" applyFill="1" applyBorder="1"/>
    <x:xf numFmtId="0" fontId="1" fillId="0" borderId="40" xfId="0" applyNumberFormat="1" applyFont="1" applyFill="1" applyBorder="1"/>
    <x:xf numFmtId="0" fontId="3" fillId="2" borderId="41" xfId="0" applyNumberFormat="1" applyFont="1" applyFill="1" applyBorder="1"/>
    <x:xf numFmtId="0" fontId="1" fillId="0" borderId="42" xfId="0" applyNumberFormat="1" applyFont="1" applyFill="1" applyBorder="1"/>
    <x:xf numFmtId="0" fontId="1" fillId="0" borderId="43" xfId="0" applyNumberFormat="1" applyFont="1" applyFill="1" applyBorder="1"/>
    <x:xf numFmtId="0" fontId="1" fillId="0" borderId="44" xfId="0" applyNumberFormat="1" applyFont="1" applyFill="1" applyBorder="1"/>
    <x:xf numFmtId="0" fontId="1" fillId="0" borderId="45" xfId="0" applyNumberFormat="1" applyFont="1" applyFill="1" applyBorder="1"/>
    <x:xf numFmtId="0" fontId="1" fillId="0" borderId="46" xfId="0" applyNumberFormat="1" applyFont="1" applyFill="1" applyBorder="1"/>
    <x:xf numFmtId="0" fontId="1" fillId="0" borderId="47" xfId="0" applyNumberFormat="1" applyFont="1" applyFill="1" applyBorder="1"/>
    <x:xf numFmtId="164" fontId="1" fillId="0" borderId="46" xfId="0" applyNumberFormat="1" applyFont="1" applyFill="1" applyBorder="1"/>
    <x:xf numFmtId="0" fontId="1" fillId="0" borderId="48" xfId="0" applyNumberFormat="1" applyFont="1" applyFill="1" applyBorder="1"/>
    <x:xf numFmtId="0" fontId="1" fillId="0" borderId="49" xfId="0" applyNumberFormat="1" applyFont="1" applyFill="1" applyBorder="1"/>
    <x:xf numFmtId="0" fontId="4" fillId="0" borderId="32" xfId="0" applyNumberFormat="1" applyFont="1" applyFill="1" applyBorder="1"/>
    <x:xf numFmtId="165" fontId="1" fillId="0" borderId="46" xfId="0" applyNumberFormat="1" applyFont="1" applyFill="1" applyBorder="1"/>
    <x:xf numFmtId="0" fontId="1" fillId="2" borderId="47" xfId="0" applyNumberFormat="1" applyFont="1" applyFill="1" applyBorder="1"/>
    <x:xf numFmtId="0" fontId="1" fillId="2" borderId="46" xfId="0" applyNumberFormat="1" applyFont="1" applyFill="1" applyBorder="1"/>
    <x:xf numFmtId="0" fontId="1" fillId="2" borderId="43" xfId="0" applyNumberFormat="1" applyFont="1" applyFill="1" applyBorder="1"/>
    <x:xf numFmtId="0" fontId="1" fillId="0" borderId="50" xfId="0" applyNumberFormat="1" applyFont="1" applyFill="1" applyBorder="1"/>
    <x:xf numFmtId="0" fontId="1" fillId="0" borderId="51" xfId="0" applyNumberFormat="1" applyFont="1" applyFill="1" applyBorder="1"/>
    <x:xf numFmtId="0" fontId="1" fillId="0" borderId="52" xfId="0" applyNumberFormat="1" applyFont="1" applyFill="1" applyBorder="1"/>
    <x:xf numFmtId="164" fontId="1" fillId="0" borderId="51" xfId="0" applyNumberFormat="1" applyFont="1" applyFill="1" applyBorder="1"/>
    <x:xf numFmtId="0" fontId="1" fillId="0" borderId="53" xfId="0" applyNumberFormat="1" applyFont="1" applyFill="1" applyBorder="1"/>
    <x:xf numFmtId="164" fontId="1" fillId="2" borderId="36" xfId="0" applyNumberFormat="1" applyFont="1" applyFill="1" applyBorder="1"/>
    <x:xf numFmtId="0" fontId="1" fillId="0" borderId="32" xfId="0" applyNumberFormat="1" applyFont="1" applyFill="1" applyBorder="1"/>
    <x:xf numFmtId="164" fontId="1" fillId="0" borderId="32" xfId="0" applyNumberFormat="1" applyFont="1" applyFill="1" applyBorder="1"/>
    <x:xf numFmtId="165" fontId="1" fillId="0" borderId="51" xfId="0" applyNumberFormat="1" applyFont="1" applyFill="1" applyBorder="1"/>
    <x:xf numFmtId="0" fontId="1" fillId="0" borderId="54" xfId="0" applyNumberFormat="1" applyFont="1" applyFill="1" applyBorder="1"/>
    <x:xf numFmtId="0" fontId="1" fillId="0" borderId="55" xfId="0" applyNumberFormat="1" applyFont="1" applyFill="1" applyBorder="1"/>
    <x:xf numFmtId="0" fontId="1" fillId="0" borderId="56" xfId="0" applyNumberFormat="1" applyFont="1" applyFill="1" applyBorder="1"/>
    <x:xf numFmtId="165" fontId="1" fillId="0" borderId="55" xfId="0" applyNumberFormat="1" applyFont="1" applyFill="1" applyBorder="1"/>
    <x:xf numFmtId="165" fontId="1" fillId="2" borderId="37" xfId="0" applyNumberFormat="1" applyFont="1" applyFill="1" applyBorder="1"/>
    <x:xf numFmtId="165" fontId="1" fillId="0" borderId="32" xfId="0" applyNumberFormat="1" applyFont="1" applyFill="1" applyBorder="1"/>
    <x:xf numFmtId="164" fontId="1" fillId="0" borderId="44" xfId="0" applyNumberFormat="1" applyFont="1" applyFill="1" applyBorder="1"/>
    <x:xf numFmtId="165" fontId="1" fillId="0" borderId="46" xfId="0" applyNumberFormat="1" applyFont="1" applyFill="1" applyBorder="1" applyAlignment="1">
      <x:alignment horizontal="right"/>
    </x:xf>
    <x:xf numFmtId="165" fontId="1" fillId="0" borderId="46" xfId="0" applyNumberFormat="1" applyFont="1" applyFill="1" applyBorder="1" applyAlignment="1">
      <x:alignment horizontal="left"/>
    </x:xf>
    <x:xf numFmtId="165" fontId="1" fillId="0" borderId="44" xfId="0" applyNumberFormat="1" applyFont="1" applyFill="1" applyBorder="1" applyAlignment="1">
      <x:alignment horizontal="right"/>
    </x:xf>
    <x:xf numFmtId="0" fontId="1" fillId="4" borderId="46" xfId="0" applyNumberFormat="1" applyFont="1" applyFill="1" applyBorder="1"/>
    <x:xf numFmtId="0" fontId="1" fillId="4" borderId="43" xfId="0" applyNumberFormat="1" applyFont="1" applyFill="1" applyBorder="1"/>
    <x:xf numFmtId="0" fontId="1" fillId="0" borderId="57" xfId="0" applyNumberFormat="1" applyFont="1" applyFill="1" applyBorder="1" applyAlignment="1">
      <x:alignment horizontal="center"/>
    </x:xf>
    <x:xf numFmtId="0" fontId="2" fillId="0" borderId="58" xfId="0" applyNumberFormat="1" applyFont="1" applyFill="1" applyBorder="1"/>
    <x:xf numFmtId="0" fontId="2" fillId="0" borderId="59" xfId="0" applyNumberFormat="1" applyFont="1" applyFill="1" applyBorder="1"/>
    <x:xf numFmtId="0" fontId="1" fillId="2" borderId="34" xfId="0" applyNumberFormat="1" applyFont="1" applyFill="1" applyBorder="1" applyAlignment="1">
      <x:alignment horizontal="center"/>
    </x:xf>
    <x:xf numFmtId="0" fontId="2" fillId="0" borderId="37" xfId="0" applyNumberFormat="1" applyFont="1" applyFill="1" applyBorder="1"/>
    <x:xf numFmtId="0" fontId="2" fillId="0" borderId="40" xfId="0" applyNumberFormat="1" applyFont="1" applyFill="1" applyBorder="1"/>
    <x:xf numFmtId="0" fontId="1" fillId="0" borderId="34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0" xfId="0" applyNumberFormat="1" applyFont="1" applyFill="1" applyBorder="1"/>
    <x:xf numFmtId="0" fontId="5" fillId="5" borderId="60" xfId="0" applyNumberFormat="1" applyFont="1" applyFill="1" applyBorder="1" applyAlignment="1">
      <x:alignment wrapText="1"/>
    </x:xf>
    <x:xf numFmtId="0" fontId="0" fillId="5" borderId="32" xfId="0" applyNumberFormat="1" applyFont="1" applyFill="1" applyBorder="1"/>
    <x:xf numFmtId="0" fontId="5" fillId="5" borderId="32" xfId="0" applyNumberFormat="1" applyFont="1" applyFill="1" applyBorder="1"/>
    <x:xf numFmtId="0" fontId="5" fillId="5" borderId="61" xfId="0" applyNumberFormat="1" applyFont="1" applyFill="1" applyBorder="1"/>
    <x:xf numFmtId="0" fontId="5" fillId="5" borderId="6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32" xfId="0" applyNumberFormat="1" applyFont="1" applyFill="1" applyBorder="1"/>
    <x:xf numFmtId="201" fontId="1" fillId="0" borderId="19" xfId="0" applyNumberFormat="1" applyFont="1" applyFill="1" applyBorder="1"/>
    <x:xf numFmtId="201" fontId="1" fillId="0" borderId="18" xfId="0" applyNumberFormat="1" applyFont="1" applyFill="1" applyBorder="1"/>
    <x:xf numFmtId="201" fontId="1" fillId="0" borderId="26" xfId="0" applyNumberFormat="1" applyFont="1" applyFill="1" applyBorder="1"/>
    <x:xf numFmtId="201" fontId="1" fillId="0" borderId="25" xfId="0" applyNumberFormat="1" applyFont="1" applyFill="1" applyBorder="1"/>
    <x:xf numFmtId="201" fontId="1" fillId="0" borderId="47" xfId="0" applyNumberFormat="1" applyFont="1" applyFill="1" applyBorder="1"/>
    <x:xf numFmtId="201" fontId="1" fillId="0" borderId="46" xfId="0" applyNumberFormat="1" applyFont="1" applyFill="1" applyBorder="1"/>
    <x:xf numFmtId="201" fontId="1" fillId="0" borderId="52" xfId="0" applyNumberFormat="1" applyFont="1" applyFill="1" applyBorder="1"/>
    <x:xf numFmtId="201" fontId="1" fillId="0" borderId="5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1" fontId="1" fillId="0" borderId="17" xfId="0" applyNumberFormat="1" applyFont="1" applyFill="1" applyBorder="1"/>
    <x:xf numFmtId="201" fontId="1" fillId="0" borderId="16" xfId="0" applyNumberFormat="1" applyFont="1" applyFill="1" applyBorder="1" applyAlignment="1">
      <x:alignment horizontal="right"/>
    </x:xf>
    <x:xf numFmtId="201" fontId="1" fillId="0" borderId="18" xfId="0" applyNumberFormat="1" applyFont="1" applyFill="1" applyBorder="1" applyAlignment="1">
      <x:alignment horizontal="left"/>
    </x:xf>
    <x:xf numFmtId="201" fontId="1" fillId="0" borderId="18" xfId="0" applyNumberFormat="1" applyFont="1" applyFill="1" applyBorder="1" applyAlignment="1">
      <x:alignment horizontal="right"/>
    </x:xf>
    <x:xf numFmtId="201" fontId="1" fillId="0" borderId="30" xfId="0" applyNumberFormat="1" applyFont="1" applyFill="1" applyBorder="1"/>
    <x:xf numFmtId="201" fontId="1" fillId="0" borderId="29" xfId="0" applyNumberFormat="1" applyFont="1" applyFill="1" applyBorder="1"/>
    <x:xf numFmtId="201" fontId="1" fillId="0" borderId="45" xfId="0" applyNumberFormat="1" applyFont="1" applyFill="1" applyBorder="1"/>
    <x:xf numFmtId="201" fontId="1" fillId="0" borderId="44" xfId="0" applyNumberFormat="1" applyFont="1" applyFill="1" applyBorder="1" applyAlignment="1">
      <x:alignment horizontal="right"/>
    </x:xf>
    <x:xf numFmtId="201" fontId="1" fillId="0" borderId="46" xfId="0" applyNumberFormat="1" applyFont="1" applyFill="1" applyBorder="1" applyAlignment="1">
      <x:alignment horizontal="left"/>
    </x:xf>
    <x:xf numFmtId="201" fontId="1" fillId="0" borderId="46" xfId="0" applyNumberFormat="1" applyFont="1" applyFill="1" applyBorder="1" applyAlignment="1">
      <x:alignment horizontal="right"/>
    </x:xf>
    <x:xf numFmtId="201" fontId="1" fillId="0" borderId="56" xfId="0" applyNumberFormat="1" applyFont="1" applyFill="1" applyBorder="1"/>
    <x:xf numFmtId="201" fontId="1" fillId="0" borderId="5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32" xfId="0" applyNumberFormat="1" applyFont="1" applyFill="1" applyBorder="1"/>
    <x:xf numFmtId="0" fontId="6" fillId="6" borderId="32" xfId="0" applyNumberFormat="1" applyFont="1" applyFill="1" applyBorder="1"/>
    <x:xf numFmtId="0" fontId="6" fillId="6" borderId="32" xfId="0" applyNumberFormat="1" applyFont="1" applyFill="1" applyBorder="1" applyAlignment="1">
      <x:alignment horizontal="center"/>
    </x:xf>
    <x:xf numFmtId="0" fontId="6" fillId="6" borderId="3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32" xfId="0" applyNumberFormat="1" applyFont="1" applyFill="1" applyBorder="1"/>
    <x:xf numFmtId="0" fontId="5" fillId="7" borderId="32" xfId="0" applyNumberFormat="1" applyFont="1" applyFill="1" applyBorder="1"/>
    <x:xf numFmtId="201" fontId="0" fillId="0" borderId="0" xfId="0" applyNumberFormat="1" applyFont="1" applyFill="1" applyBorder="1"/>
    <x:xf numFmtId="201" fontId="0" fillId="0" borderId="32" xfId="0" applyNumberFormat="1" applyFont="1" applyFill="1" applyBorder="1"/>
    <x:xf numFmtId="0" fontId="7" fillId="0" borderId="0" xfId="0" applyNumberFormat="1" applyFont="1" applyFill="1" applyBorder="1"/>
    <x:xf numFmtId="0" fontId="7" fillId="0" borderId="32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8" borderId="32" xfId="0" applyNumberFormat="1" applyFont="1" applyFill="1" applyBorder="1"/>
    <x:xf numFmtId="0" fontId="8" fillId="8" borderId="32" xfId="0" applyNumberFormat="1" applyFont="1" applyFill="1" applyBorder="1"/>
    <x:xf numFmtId="0" fontId="9" fillId="7" borderId="0" xfId="0" applyNumberFormat="1" applyFont="1" applyFill="1" applyBorder="1"/>
    <x:xf numFmtId="0" fontId="9" fillId="7" borderId="32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8" xfId="0" applyNumberFormat="1" applyFont="1" applyFill="1" applyBorder="1"/>
    <x:xf numFmtId="0" fontId="1" fillId="0" borderId="2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4" xfId="0" applyNumberFormat="1" applyFont="1" applyFill="1" applyBorder="1"/>
    <x:xf numFmtId="0" fontId="1" fillId="0" borderId="11" xfId="0" applyNumberFormat="1" applyFont="1" applyFill="1" applyBorder="1"/>
    <x:xf numFmtId="164" fontId="1" fillId="0" borderId="9" xfId="0" applyNumberFormat="1" applyFont="1" applyFill="1" applyBorder="1"/>
    <x:xf numFmtId="165" fontId="1" fillId="0" borderId="10" xfId="0" applyNumberFormat="1" applyFont="1" applyFill="1" applyBorder="1"/>
    <x:xf numFmtId="0" fontId="1" fillId="0" borderId="12" xfId="0" applyNumberFormat="1" applyFont="1" applyFill="1" applyBorder="1"/>
    <x:xf numFmtId="0" fontId="1" fillId="0" borderId="6" xfId="0" applyNumberFormat="1" applyFont="1" applyFill="1" applyBorder="1"/>
    <x:xf numFmtId="0" fontId="3" fillId="2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164" fontId="1" fillId="0" borderId="18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4" fillId="0" borderId="0" xfId="0" applyNumberFormat="1" applyFont="1" applyFill="1" applyBorder="1"/>
    <x:xf numFmtId="165" fontId="1" fillId="0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18" xfId="0" applyNumberFormat="1" applyFont="1" applyFill="1" applyBorder="1"/>
    <x:xf numFmtId="0" fontId="1" fillId="2" borderId="15" xfId="0" applyNumberFormat="1" applyFont="1" applyFill="1" applyBorder="1"/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26" xfId="0" applyNumberFormat="1" applyFont="1" applyFill="1" applyBorder="1"/>
    <x:xf numFmtId="164" fontId="1" fillId="0" borderId="25" xfId="0" applyNumberFormat="1" applyFont="1" applyFill="1" applyBorder="1"/>
    <x:xf numFmtId="0" fontId="1" fillId="0" borderId="27" xfId="0" applyNumberFormat="1" applyFont="1" applyFill="1" applyBorder="1"/>
    <x:xf numFmtId="0" fontId="1" fillId="0" borderId="0" xfId="0" applyNumberFormat="1" applyFont="1" applyFill="1" applyBorder="1"/>
    <x:xf numFmtId="164" fontId="1" fillId="0" borderId="0" xfId="0" applyNumberFormat="1" applyFont="1" applyFill="1" applyBorder="1"/>
    <x:xf numFmtId="165" fontId="1" fillId="0" borderId="25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165" fontId="1" fillId="0" borderId="29" xfId="0" applyNumberFormat="1" applyFont="1" applyFill="1" applyBorder="1"/>
    <x:xf numFmtId="165" fontId="1" fillId="2" borderId="4" xfId="0" applyNumberFormat="1" applyFont="1" applyFill="1" applyBorder="1"/>
    <x:xf numFmtId="165" fontId="1" fillId="0" borderId="0" xfId="0" applyNumberFormat="1" applyFont="1" applyFill="1" applyBorder="1"/>
    <x:xf numFmtId="164" fontId="1" fillId="0" borderId="16" xfId="0" applyNumberFormat="1" applyFont="1" applyFill="1" applyBorder="1"/>
    <x:xf numFmtId="165" fontId="1" fillId="0" borderId="18" xfId="0" applyNumberFormat="1" applyFont="1" applyFill="1" applyBorder="1" applyAlignment="1">
      <x:alignment horizontal="right"/>
    </x:xf>
    <x:xf numFmtId="165" fontId="1" fillId="0" borderId="18" xfId="0" applyNumberFormat="1" applyFont="1" applyFill="1" applyBorder="1" applyAlignment="1">
      <x:alignment horizontal="left"/>
    </x:xf>
    <x:xf numFmtId="165" fontId="1" fillId="0" borderId="16" xfId="0" applyNumberFormat="1" applyFont="1" applyFill="1" applyBorder="1" applyAlignment="1">
      <x:alignment horizontal="right"/>
    </x:xf>
    <x:xf numFmtId="0" fontId="1" fillId="4" borderId="18" xfId="0" applyNumberFormat="1" applyFont="1" applyFill="1" applyBorder="1"/>
    <x:xf numFmtId="0" fontId="1" fillId="4" borderId="15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2" fillId="0" borderId="5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 vertical="center" wrapText="1"/>
    </x:xf>
  </x:cellXfs>
  <x:cellStyles count="1">
    <x:cellStyle name="Нормален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d8b77f6ed4ee8" /><Relationship Type="http://schemas.openxmlformats.org/officeDocument/2006/relationships/theme" Target="/xl/theme/theme1.xml" Id="Red4df1a4cd85488e" /><Relationship Type="http://schemas.openxmlformats.org/officeDocument/2006/relationships/sharedStrings" Target="/xl/sharedStrings.xml" Id="R875911818229423e" /><Relationship Type="http://schemas.openxmlformats.org/officeDocument/2006/relationships/worksheet" Target="/xl/worksheets/sheet1.xml" Id="R30e5ca3256004481" /><Relationship Type="http://schemas.openxmlformats.org/officeDocument/2006/relationships/worksheet" Target="/xl/worksheets/sheet2.xml" Id="R9fffbfa754fa4bba" /><Relationship Type="http://schemas.openxmlformats.org/officeDocument/2006/relationships/worksheet" Target="/xl/worksheets/sheet3.xml" Id="R5e7a8c4dd3f2444c" /><Relationship Type="http://schemas.openxmlformats.org/officeDocument/2006/relationships/worksheet" Target="/xl/worksheets/sheet4.xml" Id="Rc1653dc016da4cc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9765625" defaultRowHeight="15"/>
  <x:cols>
    <x:col min="1" max="1" width="12.69921875" customWidth="1"/>
    <x:col min="2" max="2" width="18.8984375" customWidth="1"/>
    <x:col min="3" max="3" width="21.8984375" customWidth="1"/>
    <x:col min="4" max="4" width="8.3984375" customWidth="1"/>
    <x:col min="5" max="5" width="16.8984375" customWidth="1"/>
    <x:col min="6" max="6" width="16.19921875" customWidth="1"/>
    <x:col min="7" max="7" width="11.09765625" customWidth="1"/>
    <x:col min="8" max="8" width="73.69921875" customWidth="1"/>
    <x:col min="9" max="11" width="8.69921875" customWidth="1"/>
    <x:col min="12" max="26" width="14.3984375" customWidth="1"/>
    <x:col min="9" max="9" width="12" hidden="0" customWidth="1"/>
    <x:col min="10" max="10" width="20" hidden="0" customWidth="1"/>
    <x:col min="11" max="11" width="38" hidden="0" customWidth="1"/>
    <x:col min="12" max="12" width="42" hidden="0" customWidth="1"/>
  </x:cols>
  <x:sheetData>
    <x:row r="1" ht="14.25" customHeight="1">
      <x:c r="A1" s="50" t="s">
        <x:v>0</x:v>
      </x:c>
      <x:c r="B1" s="51"/>
      <x:c r="C1" s="51"/>
      <x:c r="D1" s="51"/>
      <x:c r="E1" s="51"/>
      <x:c r="F1" s="51"/>
      <x:c r="G1" s="52"/>
      <x:c r="H1" s="1" t="s">
        <x:v>1</x:v>
      </x:c>
    </x:row>
    <x:row r="2" ht="14.25" customHeight="1">
      <x:c r="A2" s="2" t="s">
        <x:v>2</x:v>
      </x:c>
      <x:c r="B2" s="2" t="s">
        <x:v>3</x:v>
      </x:c>
      <x:c r="C2" s="4" t="s">
        <x:v>4</x:v>
      </x:c>
      <x:c r="D2" s="4" t="s">
        <x:v>5</x:v>
      </x:c>
      <x:c r="E2" s="7" t="s">
        <x:v>6</x:v>
      </x:c>
      <x:c r="F2" s="8" t="s">
        <x:v>7</x:v>
      </x:c>
      <x:c r="G2" s="10" t="s">
        <x:v>8</x:v>
      </x:c>
      <x:c r="H2" s="12" t="s">
        <x:v>9</x:v>
      </x:c>
      <x:c r="I2" s="115" t="str">
        <x:v>Discount %</x:v>
      </x:c>
      <x:c r="J2" s="115" t="str">
        <x:v>Original Price Type</x:v>
      </x:c>
      <x:c r="K2" s="115" t="str">
        <x:v>Reference Source</x:v>
      </x:c>
      <x:c r="L2" s="115" t="str">
        <x:v>Price Review Note</x:v>
      </x:c>
    </x:row>
    <x:row r="3" ht="14.25" customHeight="1">
      <x:c r="A3" s="14" t="str">
        <x:v>O'Neill</x:v>
      </x:c>
      <x:c r="B3" s="14" t="str">
        <x:v>Елек</x:v>
      </x:c>
      <x:c r="C3" s="17" t="s">
        <x:v>10</x:v>
      </x:c>
      <x:c r="D3" s="17" t="s">
        <x:v>11</x:v>
      </x:c>
      <x:c r="E3" s="122" t="n">
        <x:v>89.99</x:v>
      </x:c>
      <x:c r="F3" s="123">
        <x:v>19.989999999999998</x:v>
      </x:c>
      <x:c r="G3" s="21"/>
      <x:c r="H3" s="22" t="s">
        <x:v>12</x:v>
      </x:c>
      <x:c r="I3" s="120" t="n">
        <x:f>IF(OR(E3="",F3="",F3&gt;=E3),"",(E3-F3)/E3)</x:f>
        <x:v>0.7778642071341261</x:v>
      </x:c>
      <x:c r="J3" t="str">
        <x:v>PROVIDED</x:v>
      </x:c>
      <x:c r="K3" s="130" t="str"/>
      <x:c r="L3" s="130" t="str">
        <x:v>Original price supplied in Stock list 3.</x:v>
      </x:c>
    </x:row>
    <x:row r="4" ht="14.25" customHeight="1">
      <x:c r="A4" s="14" t="str">
        <x:v>Marc O'Polo Denim</x:v>
      </x:c>
      <x:c r="B4" s="14" t="str">
        <x:v>Рокля</x:v>
      </x:c>
      <x:c r="C4" s="17"/>
      <x:c r="D4" s="17" t="s">
        <x:v>11</x:v>
      </x:c>
      <x:c r="E4" s="122" t="n">
        <x:v>119.95</x:v>
      </x:c>
      <x:c r="F4" s="123">
        <x:v>29.99</x:v>
      </x:c>
      <x:c r="G4" s="21"/>
      <x:c r="H4" s="22" t="s">
        <x:v>13</x:v>
      </x:c>
      <x:c r="I4" s="120" t="n">
        <x:f>IF(OR(E4="",F4="",F4&gt;=E4),"",(E4-F4)/E4)</x:f>
        <x:v>0.7499791579824927</x:v>
      </x:c>
      <x:c r="J4" t="str">
        <x:v>PROVIDED</x:v>
      </x:c>
      <x:c r="K4" s="130" t="str"/>
      <x:c r="L4" s="130" t="str">
        <x:v>Original price supplied in Stock list 3.</x:v>
      </x:c>
    </x:row>
    <x:row r="5" ht="14.25" customHeight="1">
      <x:c r="A5" s="14" t="str">
        <x:v>Levi's</x:v>
      </x:c>
      <x:c r="B5" s="14" t="str">
        <x:v>Анцуг</x:v>
      </x:c>
      <x:c r="C5" s="17"/>
      <x:c r="D5" s="17" t="s">
        <x:v>14</x:v>
      </x:c>
      <x:c r="E5" s="122" t="n">
        <x:v>49.99</x:v>
      </x:c>
      <x:c r="F5" s="123">
        <x:v>18.989999999999998</x:v>
      </x:c>
      <x:c r="G5" s="21"/>
      <x:c r="H5" s="22" t="s">
        <x:v>15</x:v>
      </x:c>
      <x:c r="I5" s="120" t="n">
        <x:f>IF(OR(E5="",F5="",F5&gt;=E5),"",(E5-F5)/E5)</x:f>
        <x:v>0.6201240248049611</x:v>
      </x:c>
      <x:c r="J5" t="str">
        <x:v>PROVIDED</x:v>
      </x:c>
      <x:c r="K5" s="130" t="str"/>
      <x:c r="L5" s="130" t="str">
        <x:v>Original price supplied in Stock list 3.</x:v>
      </x:c>
    </x:row>
    <x:row r="6" ht="14.25" customHeight="1">
      <x:c r="A6" s="14" t="str">
        <x:v>b.young</x:v>
      </x:c>
      <x:c r="B6" s="14" t="str">
        <x:v>Панталон</x:v>
      </x:c>
      <x:c r="C6" s="17"/>
      <x:c r="D6" s="17" t="s">
        <x:v>16</x:v>
      </x:c>
      <x:c r="E6" s="122" t="n">
        <x:v>59.95</x:v>
      </x:c>
      <x:c r="F6" s="123">
        <x:v>17.989999999999998</x:v>
      </x:c>
      <x:c r="G6" s="21"/>
      <x:c r="H6" s="22" t="s">
        <x:v>12</x:v>
      </x:c>
      <x:c r="I6" s="120" t="n">
        <x:f>IF(OR(E6="",F6="",F6&gt;=E6),"",(E6-F6)/E6)</x:f>
        <x:v>0.6999165971643037</x:v>
      </x:c>
      <x:c r="J6" t="str">
        <x:v>PROVIDED</x:v>
      </x:c>
      <x:c r="K6" s="130" t="str"/>
      <x:c r="L6" s="130" t="str">
        <x:v>Original price supplied in Stock list 3.</x:v>
      </x:c>
    </x:row>
    <x:row r="7" ht="14.25" customHeight="1">
      <x:c r="A7" s="14" t="str">
        <x:v>GAP</x:v>
      </x:c>
      <x:c r="B7" s="14" t="str">
        <x:v>Рокля</x:v>
      </x:c>
      <x:c r="C7" s="17" t="s">
        <x:v>17</x:v>
      </x:c>
      <x:c r="D7" s="17" t="s">
        <x:v>18</x:v>
      </x:c>
      <x:c r="E7" s="122" t="n">
        <x:v>29.99</x:v>
      </x:c>
      <x:c r="F7" s="123">
        <x:v>9.99</x:v>
      </x:c>
      <x:c r="G7" s="21"/>
      <x:c r="H7" s="22" t="s">
        <x:v>13</x:v>
      </x:c>
      <x:c r="I7" s="120" t="n">
        <x:f>IF(OR(E7="",F7="",F7&gt;=E7),"",(E7-F7)/E7)</x:f>
        <x:v>0.6668889629876625</x:v>
      </x:c>
      <x:c r="J7" t="str">
        <x:v>PROVIDED</x:v>
      </x:c>
      <x:c r="K7" s="130" t="str"/>
      <x:c r="L7" s="130" t="str">
        <x:v>Original price supplied in Stock list 3.</x:v>
      </x:c>
    </x:row>
    <x:row r="8" ht="14.25" customHeight="1">
      <x:c r="A8" s="14" t="str">
        <x:v>Superdry</x:v>
      </x:c>
      <x:c r="B8" s="14" t="str">
        <x:v>Яке</x:v>
      </x:c>
      <x:c r="C8" s="17" t="s">
        <x:v>19</x:v>
      </x:c>
      <x:c r="D8" s="17" t="s">
        <x:v>20</x:v>
      </x:c>
      <x:c r="E8" s="122" t="n">
        <x:v>89.99</x:v>
      </x:c>
      <x:c r="F8" s="123">
        <x:v>32.99</x:v>
      </x:c>
      <x:c r="G8" s="21"/>
      <x:c r="H8" s="22" t="s">
        <x:v>21</x:v>
      </x:c>
      <x:c r="I8" s="120" t="n">
        <x:f>IF(OR(E8="",F8="",F8&gt;=E8),"",(E8-F8)/E8)</x:f>
        <x:v>0.6334037115235026</x:v>
      </x:c>
      <x:c r="J8" t="str">
        <x:v>PROVIDED</x:v>
      </x:c>
      <x:c r="K8" s="130" t="str"/>
      <x:c r="L8" s="130" t="str">
        <x:v>Original price supplied in Stock list 3.</x:v>
      </x:c>
    </x:row>
    <x:row r="9" ht="14.25" customHeight="1">
      <x:c r="A9" s="14" t="str">
        <x:v>Guess</x:v>
      </x:c>
      <x:c r="B9" s="14" t="str">
        <x:v>Рокля</x:v>
      </x:c>
      <x:c r="C9" s="17" t="s">
        <x:v>22</x:v>
      </x:c>
      <x:c r="D9" s="17" t="s">
        <x:v>18</x:v>
      </x:c>
      <x:c r="E9" s="122" t="n">
        <x:v>39.99</x:v>
      </x:c>
      <x:c r="F9" s="123">
        <x:v>19.989999999999998</x:v>
      </x:c>
      <x:c r="G9" s="21"/>
      <x:c r="H9" s="22" t="s">
        <x:v>23</x:v>
      </x:c>
      <x:c r="I9" s="120" t="n">
        <x:f>IF(OR(E9="",F9="",F9&gt;=E9),"",(E9-F9)/E9)</x:f>
        <x:v>0.5001250312578145</x:v>
      </x:c>
      <x:c r="J9" t="str">
        <x:v>PROVIDED</x:v>
      </x:c>
      <x:c r="K9" s="130" t="str"/>
      <x:c r="L9" s="130" t="str">
        <x:v>Original price supplied in Stock list 3.</x:v>
      </x:c>
    </x:row>
    <x:row r="10" ht="14.25" customHeight="1">
      <x:c r="A10" s="14" t="str">
        <x:v>Lauren Ralph Lauren</x:v>
      </x:c>
      <x:c r="B10" s="14" t="str">
        <x:v>Рокля</x:v>
      </x:c>
      <x:c r="C10" s="17" t="s">
        <x:v>17</x:v>
      </x:c>
      <x:c r="D10" s="17" t="s">
        <x:v>24</x:v>
      </x:c>
      <x:c r="E10" s="122" t="n">
        <x:v>100</x:v>
      </x:c>
      <x:c r="F10" s="123">
        <x:v>29.99</x:v>
      </x:c>
      <x:c r="G10" s="21"/>
      <x:c r="H10" s="22" t="s">
        <x:v>25</x:v>
      </x:c>
      <x:c r="I10" s="120" t="n">
        <x:f>IF(OR(E10="",F10="",F10&gt;=E10),"",(E10-F10)/E10)</x:f>
        <x:v>0.7001000000000001</x:v>
      </x:c>
      <x:c r="J10" t="str">
        <x:v>PROVIDED</x:v>
      </x:c>
      <x:c r="K10" s="130" t="str"/>
      <x:c r="L10" s="130" t="str">
        <x:v>Original price supplied in Stock list 3.</x:v>
      </x:c>
    </x:row>
    <x:row r="11" ht="14.25" customHeight="1">
      <x:c r="A11" s="14" t="str">
        <x:v>EDITED</x:v>
      </x:c>
      <x:c r="B11" s="14" t="str">
        <x:v>Бюстие</x:v>
      </x:c>
      <x:c r="C11" s="17"/>
      <x:c r="D11" s="17" t="s">
        <x:v>11</x:v>
      </x:c>
      <x:c r="E11" s="122" t="n">
        <x:v>34.9</x:v>
      </x:c>
      <x:c r="F11" s="123">
        <x:v>19.989999999999998</x:v>
      </x:c>
      <x:c r="G11" s="21"/>
      <x:c r="H11" s="22" t="s">
        <x:v>26</x:v>
      </x:c>
      <x:c r="I11" s="120" t="n">
        <x:f>IF(OR(E11="",F11="",F11&gt;=E11),"",(E11-F11)/E11)</x:f>
        <x:v>0.42722063037249286</x:v>
      </x:c>
      <x:c r="J11" t="str">
        <x:v>PROVIDED</x:v>
      </x:c>
      <x:c r="K11" s="130" t="str"/>
      <x:c r="L11" s="130" t="str">
        <x:v>Original price supplied in Stock list 3.</x:v>
      </x:c>
    </x:row>
    <x:row r="12" ht="14.25" customHeight="1">
      <x:c r="A12" s="14" t="str">
        <x:v>JDY</x:v>
      </x:c>
      <x:c r="B12" s="14" t="str">
        <x:v>Блуза</x:v>
      </x:c>
      <x:c r="C12" s="17" t="s">
        <x:v>27</x:v>
      </x:c>
      <x:c r="D12" s="17" t="s">
        <x:v>18</x:v>
      </x:c>
      <x:c r="E12" s="122" t="n">
        <x:v>29.99</x:v>
      </x:c>
      <x:c r="F12" s="123">
        <x:v>15</x:v>
      </x:c>
      <x:c r="G12" s="21"/>
      <x:c r="H12" s="22" t="s">
        <x:v>28</x:v>
      </x:c>
      <x:c r="I12" s="120" t="n">
        <x:f>IF(OR(E12="",F12="",F12&gt;=E12),"",(E12-F12)/E12)</x:f>
        <x:v>0.49983327775925307</x:v>
      </x:c>
      <x:c r="J12" t="str">
        <x:v>REFERENCE / DEMO</x:v>
      </x:c>
      <x:c r="K12" s="130" t="str"/>
      <x:c r="L12" s="130" t="str">
        <x:v>Exact original price not verified; item is marked sold/taken in the stock notes.</x:v>
      </x:c>
    </x:row>
    <x:row r="13" ht="14.25" customHeight="1">
      <x:c r="A13" s="14" t="str">
        <x:v>VILA</x:v>
      </x:c>
      <x:c r="B13" s="14" t="str">
        <x:v>Рокля</x:v>
      </x:c>
      <x:c r="C13" s="17" t="s">
        <x:v>29</x:v>
      </x:c>
      <x:c r="D13" s="17" t="s">
        <x:v>30</x:v>
      </x:c>
      <x:c r="E13" s="122" t="n">
        <x:v>39.99</x:v>
      </x:c>
      <x:c r="F13" s="123">
        <x:v>14.99</x:v>
      </x:c>
      <x:c r="G13" s="21"/>
      <x:c r="H13" s="22" t="s">
        <x:v>13</x:v>
      </x:c>
      <x:c r="I13" s="120" t="n">
        <x:f>IF(OR(E13="",F13="",F13&gt;=E13),"",(E13-F13)/E13)</x:f>
        <x:v>0.6251562890722681</x:v>
      </x:c>
      <x:c r="J13" t="str">
        <x:v>PROVIDED</x:v>
      </x:c>
      <x:c r="K13" s="130" t="str"/>
      <x:c r="L13" s="130" t="str">
        <x:v>Original price supplied in Stock list 3.</x:v>
      </x:c>
    </x:row>
    <x:row r="14" ht="14.25" customHeight="1">
      <x:c r="A14" s="14" t="str">
        <x:v>ONLY</x:v>
      </x:c>
      <x:c r="B14" s="14" t="str">
        <x:v>Пола</x:v>
      </x:c>
      <x:c r="C14" s="17" t="s">
        <x:v>31</x:v>
      </x:c>
      <x:c r="D14" s="17" t="s">
        <x:v>32</x:v>
      </x:c>
      <x:c r="E14" s="122" t="n">
        <x:v>34.99</x:v>
      </x:c>
      <x:c r="F14" s="123">
        <x:v>19.989999999999998</x:v>
      </x:c>
      <x:c r="G14" s="21"/>
      <x:c r="H14" s="22" t="s">
        <x:v>33</x:v>
      </x:c>
      <x:c r="I14" s="120" t="n">
        <x:f>IF(OR(E14="",F14="",F14&gt;=E14),"",(E14-F14)/E14)</x:f>
        <x:v>0.4286939125464419</x:v>
      </x:c>
      <x:c r="J14" t="str">
        <x:v>PROVIDED</x:v>
      </x:c>
      <x:c r="K14" s="130" t="str"/>
      <x:c r="L14" s="130" t="str">
        <x:v>Original price supplied in Stock list 3.</x:v>
      </x:c>
    </x:row>
    <x:row r="15" ht="14.25" customHeight="1">
      <x:c r="A15" s="14" t="str">
        <x:v>BDG</x:v>
      </x:c>
      <x:c r="B15" s="14" t="str">
        <x:v>Дънки</x:v>
      </x:c>
      <x:c r="C15" s="25" t="s">
        <x:v>34</x:v>
      </x:c>
      <x:c r="D15" s="17" t="s">
        <x:v>18</x:v>
      </x:c>
      <x:c r="E15" s="122" t="n">
        <x:v>49.99</x:v>
      </x:c>
      <x:c r="F15" s="123">
        <x:v>15</x:v>
      </x:c>
      <x:c r="G15" s="21"/>
      <x:c r="H15" s="22" t="s">
        <x:v>35</x:v>
      </x:c>
      <x:c r="I15" s="120" t="n">
        <x:f>IF(OR(E15="",F15="",F15&gt;=E15),"",(E15-F15)/E15)</x:f>
        <x:v>0.6999399879975995</x:v>
      </x:c>
      <x:c r="J15" t="str">
        <x:v>REFERENCE / DEMO</x:v>
      </x:c>
      <x:c r="K15" s="130" t="str"/>
      <x:c r="L15" s="130" t="str">
        <x:v>Exact original price not verified; item is marked sold/taken in the stock notes.</x:v>
      </x:c>
    </x:row>
    <x:row r="16" ht="14.25" customHeight="1">
      <x:c r="A16" s="14" t="str">
        <x:v>Wall G</x:v>
      </x:c>
      <x:c r="B16" s="14" t="str">
        <x:v>Пола тип панталон</x:v>
      </x:c>
      <x:c r="C16" s="17" t="s">
        <x:v>36</x:v>
      </x:c>
      <x:c r="D16" s="17" t="s">
        <x:v>37</x:v>
      </x:c>
      <x:c r="E16" s="122" t="n">
        <x:v>45.99</x:v>
      </x:c>
      <x:c r="F16" s="123">
        <x:v>22.99</x:v>
      </x:c>
      <x:c r="G16" s="21"/>
      <x:c r="H16" s="22" t="s">
        <x:v>26</x:v>
      </x:c>
      <x:c r="I16" s="120" t="n">
        <x:f>IF(OR(E16="",F16="",F16&gt;=E16),"",(E16-F16)/E16)</x:f>
        <x:v>0.5001087192868016</x:v>
      </x:c>
      <x:c r="J16" t="str">
        <x:v>PROVIDED</x:v>
      </x:c>
      <x:c r="K16" s="130" t="str"/>
      <x:c r="L16" s="130" t="str">
        <x:v>Original price supplied in Stock list 3.</x:v>
      </x:c>
    </x:row>
    <x:row r="17" ht="14.25" customHeight="1">
      <x:c r="A17" s="14" t="str">
        <x:v>Cortefiel</x:v>
      </x:c>
      <x:c r="B17" s="14" t="str">
        <x:v>Панталон</x:v>
      </x:c>
      <x:c r="C17" s="17" t="s">
        <x:v>38</x:v>
      </x:c>
      <x:c r="D17" s="17" t="s">
        <x:v>32</x:v>
      </x:c>
      <x:c r="E17" s="122" t="n">
        <x:v>49.99</x:v>
      </x:c>
      <x:c r="F17" s="123">
        <x:v>22.99</x:v>
      </x:c>
      <x:c r="G17" s="21"/>
      <x:c r="H17" s="22" t="s">
        <x:v>12</x:v>
      </x:c>
      <x:c r="I17" s="120" t="n">
        <x:f>IF(OR(E17="",F17="",F17&gt;=E17),"",(E17-F17)/E17)</x:f>
        <x:v>0.5401080216043209</x:v>
      </x:c>
      <x:c r="J17" t="str">
        <x:v>PROVIDED</x:v>
      </x:c>
      <x:c r="K17" s="130" t="str"/>
      <x:c r="L17" s="130" t="str">
        <x:v>Original price supplied in Stock list 3.</x:v>
      </x:c>
    </x:row>
    <x:row r="18" ht="14.25" customHeight="1">
      <x:c r="A18" s="14" t="str">
        <x:v>Kari Traa</x:v>
      </x:c>
      <x:c r="B18" s="14" t="str">
        <x:v>Потник</x:v>
      </x:c>
      <x:c r="C18" s="17" t="s">
        <x:v>39</x:v>
      </x:c>
      <x:c r="D18" s="17" t="s">
        <x:v>40</x:v>
      </x:c>
      <x:c r="E18" s="122" t="n">
        <x:v>34.99</x:v>
      </x:c>
      <x:c r="F18" s="123">
        <x:v>5</x:v>
      </x:c>
      <x:c r="G18" s="21"/>
      <x:c r="H18" s="22" t="s">
        <x:v>41</x:v>
      </x:c>
      <x:c r="I18" s="120" t="n">
        <x:f>IF(OR(E18="",F18="",F18&gt;=E18),"",(E18-F18)/E18)</x:f>
        <x:v>0.857102029151186</x:v>
      </x:c>
      <x:c r="J18" t="str">
        <x:v>REFERENCE / DEMO</x:v>
      </x:c>
      <x:c r="K18" s="130" t="str"/>
      <x:c r="L18" s="130" t="str">
        <x:v>Exact original price not verified; item is marked sold/taken in the stock notes.</x:v>
      </x:c>
    </x:row>
    <x:row r="19" ht="14.25" customHeight="1">
      <x:c r="A19" s="14" t="str">
        <x:v>Even&amp;Odd</x:v>
      </x:c>
      <x:c r="B19" s="14" t="str">
        <x:v>Суитшърт</x:v>
      </x:c>
      <x:c r="C19" s="17" t="s">
        <x:v>10</x:v>
      </x:c>
      <x:c r="D19" s="17" t="s">
        <x:v>24</x:v>
      </x:c>
      <x:c r="E19" s="122" t="n">
        <x:v>29.99</x:v>
      </x:c>
      <x:c r="F19" s="123">
        <x:v>14.99</x:v>
      </x:c>
      <x:c r="G19" s="21"/>
      <x:c r="H19" s="22" t="s">
        <x:v>12</x:v>
      </x:c>
      <x:c r="I19" s="120" t="n">
        <x:f>IF(OR(E19="",F19="",F19&gt;=E19),"",(E19-F19)/E19)</x:f>
        <x:v>0.5001667222407469</x:v>
      </x:c>
      <x:c r="J19" t="str">
        <x:v>PROVIDED</x:v>
      </x:c>
      <x:c r="K19" s="130" t="str"/>
      <x:c r="L19" s="130" t="str">
        <x:v>Original price supplied in Stock list 3.</x:v>
      </x:c>
    </x:row>
    <x:row r="20" ht="14.25" customHeight="1">
      <x:c r="A20" s="14" t="str">
        <x:v>ONLY</x:v>
      </x:c>
      <x:c r="B20" s="14" t="str">
        <x:v>Зимно яке</x:v>
      </x:c>
      <x:c r="C20" s="17" t="s">
        <x:v>42</x:v>
      </x:c>
      <x:c r="D20" s="17" t="s">
        <x:v>32</x:v>
      </x:c>
      <x:c r="E20" s="122" t="n">
        <x:v>89.99</x:v>
      </x:c>
      <x:c r="F20" s="123">
        <x:v>25</x:v>
      </x:c>
      <x:c r="G20" s="21"/>
      <x:c r="H20" s="22" t="s">
        <x:v>41</x:v>
      </x:c>
      <x:c r="I20" s="120" t="n">
        <x:f>IF(OR(E20="",F20="",F20&gt;=E20),"",(E20-F20)/E20)</x:f>
        <x:v>0.722191354594955</x:v>
      </x:c>
      <x:c r="J20" t="str">
        <x:v>REFERENCE / DEMO</x:v>
      </x:c>
      <x:c r="K20" s="130" t="str"/>
      <x:c r="L20" s="130" t="str">
        <x:v>Exact original price not verified; item is marked sold/taken in the stock notes.</x:v>
      </x:c>
    </x:row>
    <x:row r="21" ht="14.25" customHeight="1">
      <x:c r="A21" s="14" t="str">
        <x:v>Noa Noa</x:v>
      </x:c>
      <x:c r="B21" s="49" t="str">
        <x:v>Блуза</x:v>
      </x:c>
      <x:c r="C21" s="17" t="s">
        <x:v>43</x:v>
      </x:c>
      <x:c r="D21" s="17" t="s">
        <x:v>11</x:v>
      </x:c>
      <x:c r="E21" s="122" t="n">
        <x:v>59.99</x:v>
      </x:c>
      <x:c r="F21" s="123">
        <x:v>25</x:v>
      </x:c>
      <x:c r="G21" s="21"/>
      <x:c r="H21" s="22" t="s">
        <x:v>44</x:v>
      </x:c>
      <x:c r="I21" s="120" t="n">
        <x:f>IF(OR(E21="",F21="",F21&gt;=E21),"",(E21-F21)/E21)</x:f>
        <x:v>0.5832638773128855</x:v>
      </x:c>
      <x:c r="J21" t="str">
        <x:v>REFERENCE / DEMO</x:v>
      </x:c>
      <x:c r="K21" s="130" t="str"/>
      <x:c r="L21" s="130" t="str">
        <x:v>Exact original price not verified; item is marked sold/taken in the stock notes.</x:v>
      </x:c>
    </x:row>
    <x:row r="22" ht="14.25" customHeight="1">
      <x:c r="A22" s="14" t="str">
        <x:v>adidas</x:v>
      </x:c>
      <x:c r="B22" s="14" t="str">
        <x:v>Спортен клин</x:v>
      </x:c>
      <x:c r="C22" s="17" t="s">
        <x:v>10</x:v>
      </x:c>
      <x:c r="D22" s="17" t="s">
        <x:v>37</x:v>
      </x:c>
      <x:c r="E22" s="122" t="n">
        <x:v>64.99</x:v>
      </x:c>
      <x:c r="F22" s="123">
        <x:v>29.99</x:v>
      </x:c>
      <x:c r="G22" s="21"/>
      <x:c r="H22" s="22" t="s">
        <x:v>12</x:v>
      </x:c>
      <x:c r="I22" s="120" t="n">
        <x:f>IF(OR(E22="",F22="",F22&gt;=E22),"",(E22-F22)/E22)</x:f>
        <x:v>0.5385443914448377</x:v>
      </x:c>
      <x:c r="J22" t="str">
        <x:v>PROVIDED</x:v>
      </x:c>
      <x:c r="K22" s="130" t="str"/>
      <x:c r="L22" s="130" t="str">
        <x:v>Original price supplied in Stock list 3.</x:v>
      </x:c>
    </x:row>
    <x:row r="23" ht="14.25" customHeight="1">
      <x:c r="A23" s="14" t="str">
        <x:v>Even&amp;Odd</x:v>
      </x:c>
      <x:c r="B23" s="14" t="str">
        <x:v>Спортен клин</x:v>
      </x:c>
      <x:c r="C23" s="17"/>
      <x:c r="D23" s="17" t="s">
        <x:v>20</x:v>
      </x:c>
      <x:c r="E23" s="122" t="n">
        <x:v>49.95</x:v>
      </x:c>
      <x:c r="F23" s="123">
        <x:v>19.989999999999998</x:v>
      </x:c>
      <x:c r="G23" s="21"/>
      <x:c r="H23" s="22" t="s">
        <x:v>12</x:v>
      </x:c>
      <x:c r="I23" s="120" t="n">
        <x:f>IF(OR(E23="",F23="",F23&gt;=E23),"",(E23-F23)/E23)</x:f>
        <x:v>0.5997997997997998</x:v>
      </x:c>
      <x:c r="J23" t="str">
        <x:v>PROVIDED</x:v>
      </x:c>
      <x:c r="K23" s="130" t="str"/>
      <x:c r="L23" s="130" t="str">
        <x:v>Original price supplied in Stock list 3.</x:v>
      </x:c>
    </x:row>
    <x:row r="24" ht="14.25" customHeight="1">
      <x:c r="A24" s="14" t="str">
        <x:v>NA-KD</x:v>
      </x:c>
      <x:c r="B24" s="14" t="str">
        <x:v>Палто</x:v>
      </x:c>
      <x:c r="C24" s="17"/>
      <x:c r="D24" s="17" t="s">
        <x:v>18</x:v>
      </x:c>
      <x:c r="E24" s="122" t="n">
        <x:v>59.99</x:v>
      </x:c>
      <x:c r="F24" s="123">
        <x:v>19.989999999999998</x:v>
      </x:c>
      <x:c r="G24" s="21"/>
      <x:c r="H24" s="22" t="s">
        <x:v>26</x:v>
      </x:c>
      <x:c r="I24" s="120" t="n">
        <x:f>IF(OR(E24="",F24="",F24&gt;=E24),"",(E24-F24)/E24)</x:f>
        <x:v>0.6667777962993832</x:v>
      </x:c>
      <x:c r="J24" t="str">
        <x:v>PROVIDED</x:v>
      </x:c>
      <x:c r="K24" s="130" t="str"/>
      <x:c r="L24" s="130" t="str">
        <x:v>Original price supplied in Stock list 3.</x:v>
      </x:c>
    </x:row>
    <x:row r="25" ht="14.25" customHeight="1">
      <x:c r="A25" s="14" t="str">
        <x:v>VILA</x:v>
      </x:c>
      <x:c r="B25" s="14" t="str">
        <x:v>Блуза</x:v>
      </x:c>
      <x:c r="C25" s="17" t="s">
        <x:v>45</x:v>
      </x:c>
      <x:c r="D25" s="17" t="s">
        <x:v>14</x:v>
      </x:c>
      <x:c r="E25" s="122" t="n">
        <x:v>39.99</x:v>
      </x:c>
      <x:c r="F25" s="123">
        <x:v>12.99</x:v>
      </x:c>
      <x:c r="G25" s="21"/>
      <x:c r="H25" s="22" t="s">
        <x:v>13</x:v>
      </x:c>
      <x:c r="I25" s="120" t="n">
        <x:f>IF(OR(E25="",F25="",F25&gt;=E25),"",(E25-F25)/E25)</x:f>
        <x:v>0.6751687921980495</x:v>
      </x:c>
      <x:c r="J25" t="str">
        <x:v>PROVIDED</x:v>
      </x:c>
      <x:c r="K25" s="130" t="str"/>
      <x:c r="L25" s="130" t="str">
        <x:v>Original price supplied in Stock list 3.</x:v>
      </x:c>
    </x:row>
    <x:row r="26" ht="14.25" customHeight="1">
      <x:c r="A26" s="14" t="str">
        <x:v>PIECES</x:v>
      </x:c>
      <x:c r="B26" s="14" t="str">
        <x:v>Блуза</x:v>
      </x:c>
      <x:c r="C26" s="17" t="s">
        <x:v>46</x:v>
      </x:c>
      <x:c r="D26" s="17" t="s">
        <x:v>18</x:v>
      </x:c>
      <x:c r="E26" s="122" t="n">
        <x:v>34.99</x:v>
      </x:c>
      <x:c r="F26" s="123">
        <x:v>10</x:v>
      </x:c>
      <x:c r="G26" s="21"/>
      <x:c r="H26" s="22" t="s">
        <x:v>47</x:v>
      </x:c>
      <x:c r="I26" s="120" t="n">
        <x:f>IF(OR(E26="",F26="",F26&gt;=E26),"",(E26-F26)/E26)</x:f>
        <x:v>0.7142040583023721</x:v>
      </x:c>
      <x:c r="J26" t="str">
        <x:v>REFERENCE / DEMO</x:v>
      </x:c>
      <x:c r="K26" s="130" t="str"/>
      <x:c r="L26" s="130" t="str">
        <x:v>Exact original price not verified; item is marked sold/taken in the stock notes.</x:v>
      </x:c>
    </x:row>
    <x:row r="27" ht="14.25" customHeight="1">
      <x:c r="A27" s="14" t="str">
        <x:v>LeGer</x:v>
      </x:c>
      <x:c r="B27" s="14" t="str">
        <x:v>Дънки</x:v>
      </x:c>
      <x:c r="C27" s="17" t="s">
        <x:v>48</x:v>
      </x:c>
      <x:c r="D27" s="17" t="s">
        <x:v>32</x:v>
      </x:c>
      <x:c r="E27" s="122" t="n">
        <x:v>49.99</x:v>
      </x:c>
      <x:c r="F27" s="123">
        <x:v>19.989999999999998</x:v>
      </x:c>
      <x:c r="G27" s="21"/>
      <x:c r="H27" s="22" t="s">
        <x:v>12</x:v>
      </x:c>
      <x:c r="I27" s="120" t="n">
        <x:f>IF(OR(E27="",F27="",F27&gt;=E27),"",(E27-F27)/E27)</x:f>
        <x:v>0.600120024004801</x:v>
      </x:c>
      <x:c r="J27" t="str">
        <x:v>PROVIDED</x:v>
      </x:c>
      <x:c r="K27" s="130" t="str"/>
      <x:c r="L27" s="130" t="str">
        <x:v>Original price supplied in Stock list 3.</x:v>
      </x:c>
    </x:row>
    <x:row r="28" ht="14.25" customHeight="1">
      <x:c r="A28" s="14" t="str">
        <x:v>JDY</x:v>
      </x:c>
      <x:c r="B28" s="14" t="str">
        <x:v>Блуза</x:v>
      </x:c>
      <x:c r="C28" s="17" t="s">
        <x:v>46</x:v>
      </x:c>
      <x:c r="D28" s="17" t="s">
        <x:v>18</x:v>
      </x:c>
      <x:c r="E28" s="122" t="n">
        <x:v>29.99</x:v>
      </x:c>
      <x:c r="F28" s="123">
        <x:v>12.99</x:v>
      </x:c>
      <x:c r="G28" s="21"/>
      <x:c r="H28" s="22" t="s">
        <x:v>13</x:v>
      </x:c>
      <x:c r="I28" s="120" t="n">
        <x:f>IF(OR(E28="",F28="",F28&gt;=E28),"",(E28-F28)/E28)</x:f>
        <x:v>0.5668556185395132</x:v>
      </x:c>
      <x:c r="J28" t="str">
        <x:v>PROVIDED</x:v>
      </x:c>
      <x:c r="K28" s="130" t="str"/>
      <x:c r="L28" s="130" t="str">
        <x:v>Original price supplied in Stock list 3.</x:v>
      </x:c>
    </x:row>
    <x:row r="29" ht="14.25" customHeight="1">
      <x:c r="A29" s="14" t="str">
        <x:v>ONLY</x:v>
      </x:c>
      <x:c r="B29" s="14" t="str">
        <x:v>Кожена пола/рокля</x:v>
      </x:c>
      <x:c r="C29" s="17" t="s">
        <x:v>49</x:v>
      </x:c>
      <x:c r="D29" s="17" t="s">
        <x:v>50</x:v>
      </x:c>
      <x:c r="E29" s="122" t="n">
        <x:v>49.99</x:v>
      </x:c>
      <x:c r="F29" s="123">
        <x:v>20</x:v>
      </x:c>
      <x:c r="G29" s="21"/>
      <x:c r="H29" s="22" t="s">
        <x:v>47</x:v>
      </x:c>
      <x:c r="I29" s="120" t="n">
        <x:f>IF(OR(E29="",F29="",F29&gt;=E29),"",(E29-F29)/E29)</x:f>
        <x:v>0.5999199839967994</x:v>
      </x:c>
      <x:c r="J29" t="str">
        <x:v>REFERENCE / DEMO</x:v>
      </x:c>
      <x:c r="K29" s="130" t="str"/>
      <x:c r="L29" s="130" t="str">
        <x:v>Exact original price not verified; item is marked sold/taken in the stock notes.</x:v>
      </x:c>
    </x:row>
    <x:row r="30" ht="14.25" customHeight="1">
      <x:c r="A30" s="14" t="str">
        <x:v>Versace</x:v>
      </x:c>
      <x:c r="B30" s="14" t="str">
        <x:v>Боди</x:v>
      </x:c>
      <x:c r="C30" s="17"/>
      <x:c r="D30" s="17">
        <x:v>46</x:v>
      </x:c>
      <x:c r="E30" s="122" t="n">
        <x:v>322</x:v>
      </x:c>
      <x:c r="F30" s="123">
        <x:v>100</x:v>
      </x:c>
      <x:c r="G30" s="21"/>
      <x:c r="H30" s="22" t="s">
        <x:v>26</x:v>
      </x:c>
      <x:c r="I30" s="120" t="n">
        <x:f>IF(OR(E30="",F30="",F30&gt;=E30),"",(E30-F30)/E30)</x:f>
        <x:v>0.6894409937888198</x:v>
      </x:c>
      <x:c r="J30" t="str">
        <x:v>PROVIDED</x:v>
      </x:c>
      <x:c r="K30" s="130" t="str"/>
      <x:c r="L30" s="130" t="str">
        <x:v>Original price supplied in Stock list 3.</x:v>
      </x:c>
    </x:row>
    <x:row r="31" ht="14.25" customHeight="1">
      <x:c r="A31" s="14" t="str">
        <x:v>PIECES</x:v>
      </x:c>
      <x:c r="B31" s="14" t="str">
        <x:v>Яке</x:v>
      </x:c>
      <x:c r="C31" s="17" t="s">
        <x:v>51</x:v>
      </x:c>
      <x:c r="D31" s="17" t="s">
        <x:v>18</x:v>
      </x:c>
      <x:c r="E31" s="122" t="n">
        <x:v>79.99</x:v>
      </x:c>
      <x:c r="F31" s="123">
        <x:v>24.99</x:v>
      </x:c>
      <x:c r="G31" s="21"/>
      <x:c r="H31" s="22" t="s">
        <x:v>26</x:v>
      </x:c>
      <x:c r="I31" s="120" t="n">
        <x:f>IF(OR(E31="",F31="",F31&gt;=E31),"",(E31-F31)/E31)</x:f>
        <x:v>0.6875859482435305</x:v>
      </x:c>
      <x:c r="J31" t="str">
        <x:v>PROVIDED</x:v>
      </x:c>
      <x:c r="K31" s="130" t="str"/>
      <x:c r="L31" s="130" t="str">
        <x:v>Original price supplied in Stock list 3.</x:v>
      </x:c>
    </x:row>
    <x:row r="32" ht="14.25" customHeight="1">
      <x:c r="A32" s="14" t="str">
        <x:v>Nike</x:v>
      </x:c>
      <x:c r="B32" s="14" t="str">
        <x:v>Потник</x:v>
      </x:c>
      <x:c r="C32" s="17"/>
      <x:c r="D32" s="17" t="s">
        <x:v>24</x:v>
      </x:c>
      <x:c r="E32" s="122" t="n">
        <x:v>34.99</x:v>
      </x:c>
      <x:c r="F32" s="123">
        <x:v>16.989999999999998</x:v>
      </x:c>
      <x:c r="G32" s="21"/>
      <x:c r="H32" s="22" t="s">
        <x:v>52</x:v>
      </x:c>
      <x:c r="I32" s="120" t="n">
        <x:f>IF(OR(E32="",F32="",F32&gt;=E32),"",(E32-F32)/E32)</x:f>
        <x:v>0.5144326950557303</x:v>
      </x:c>
      <x:c r="J32" t="str">
        <x:v>PROVIDED</x:v>
      </x:c>
      <x:c r="K32" s="130" t="str"/>
      <x:c r="L32" s="130" t="str">
        <x:v>Original price supplied in Stock list 3.</x:v>
      </x:c>
    </x:row>
    <x:row r="33" ht="14.25" customHeight="1">
      <x:c r="A33" s="14" t="str">
        <x:v>Colmar</x:v>
      </x:c>
      <x:c r="B33" s="26" t="str">
        <x:v>Къси панталони</x:v>
      </x:c>
      <x:c r="C33" s="17"/>
      <x:c r="D33" s="17" t="s">
        <x:v>53</x:v>
      </x:c>
      <x:c r="E33" s="122" t="n">
        <x:v>179.99</x:v>
      </x:c>
      <x:c r="F33" s="123">
        <x:v>45.99</x:v>
      </x:c>
      <x:c r="G33" s="21"/>
      <x:c r="H33" s="22" t="s">
        <x:v>54</x:v>
      </x:c>
      <x:c r="I33" s="120" t="n">
        <x:f>IF(OR(E33="",F33="",F33&gt;=E33),"",(E33-F33)/E33)</x:f>
        <x:v>0.7444858047669315</x:v>
      </x:c>
      <x:c r="J33" t="str">
        <x:v>PROVIDED</x:v>
      </x:c>
      <x:c r="K33" s="130" t="str"/>
      <x:c r="L33" s="130" t="str">
        <x:v>Original price supplied in Stock list 3.</x:v>
      </x:c>
    </x:row>
    <x:row r="34" ht="14.25" customHeight="1">
      <x:c r="A34" s="14" t="str">
        <x:v>ODLO</x:v>
      </x:c>
      <x:c r="B34" s="26" t="str">
        <x:v>Тениска</x:v>
      </x:c>
      <x:c r="C34" s="17"/>
      <x:c r="D34" s="17" t="s">
        <x:v>40</x:v>
      </x:c>
      <x:c r="E34" s="122" t="n">
        <x:v>84.99</x:v>
      </x:c>
      <x:c r="F34" s="123">
        <x:v>15.99</x:v>
      </x:c>
      <x:c r="G34" s="21"/>
      <x:c r="H34" s="22" t="s">
        <x:v>13</x:v>
      </x:c>
      <x:c r="I34" s="120" t="n">
        <x:f>IF(OR(E34="",F34="",F34&gt;=E34),"",(E34-F34)/E34)</x:f>
        <x:v>0.8118602188492764</x:v>
      </x:c>
      <x:c r="J34" t="str">
        <x:v>PROVIDED</x:v>
      </x:c>
      <x:c r="K34" s="130" t="str"/>
      <x:c r="L34" s="130" t="str">
        <x:v>Original price supplied in Stock list 3.</x:v>
      </x:c>
    </x:row>
    <x:row r="35" ht="14.25" customHeight="1">
      <x:c r="A35" s="14" t="str">
        <x:v>adidas</x:v>
      </x:c>
      <x:c r="B35" s="14" t="str">
        <x:v>Потник</x:v>
      </x:c>
      <x:c r="C35" s="17" t="s">
        <x:v>55</x:v>
      </x:c>
      <x:c r="D35" s="17" t="s">
        <x:v>32</x:v>
      </x:c>
      <x:c r="E35" s="122" t="n">
        <x:v>34.99</x:v>
      </x:c>
      <x:c r="F35" s="123">
        <x:v>20</x:v>
      </x:c>
      <x:c r="G35" s="21"/>
      <x:c r="H35" s="22" t="s">
        <x:v>56</x:v>
      </x:c>
      <x:c r="I35" s="120" t="n">
        <x:f>IF(OR(E35="",F35="",F35&gt;=E35),"",(E35-F35)/E35)</x:f>
        <x:v>0.42840811660474426</x:v>
      </x:c>
      <x:c r="J35" t="str">
        <x:v>REFERENCE / DEMO</x:v>
      </x:c>
      <x:c r="K35" s="130" t="str"/>
      <x:c r="L35" s="130" t="str">
        <x:v>Exact original price not verified; item is marked sold/taken in the stock notes.</x:v>
      </x:c>
    </x:row>
    <x:row r="36" ht="14.25" customHeight="1">
      <x:c r="A36" s="14" t="str">
        <x:v>Quiksilver</x:v>
      </x:c>
      <x:c r="B36" s="14" t="str">
        <x:v>Дънки</x:v>
      </x:c>
      <x:c r="C36" s="17"/>
      <x:c r="D36" s="17" t="s">
        <x:v>57</x:v>
      </x:c>
      <x:c r="E36" s="122" t="n">
        <x:v>69.99</x:v>
      </x:c>
      <x:c r="F36" s="123">
        <x:v>20</x:v>
      </x:c>
      <x:c r="G36" s="21"/>
      <x:c r="H36" s="22" t="s">
        <x:v>58</x:v>
      </x:c>
      <x:c r="I36" s="120" t="n">
        <x:f>IF(OR(E36="",F36="",F36&gt;=E36),"",(E36-F36)/E36)</x:f>
        <x:v>0.7142448921274468</x:v>
      </x:c>
      <x:c r="J36" t="str">
        <x:v>REFERENCE / DEMO</x:v>
      </x:c>
      <x:c r="K36" s="130" t="str"/>
      <x:c r="L36" s="130" t="str">
        <x:v>Exact original price not verified; item is marked sold/taken in the stock notes.</x:v>
      </x:c>
    </x:row>
    <x:row r="37" ht="14.25" customHeight="1">
      <x:c r="A37" s="14" t="str">
        <x:v>VILA</x:v>
      </x:c>
      <x:c r="B37" s="14" t="str">
        <x:v>Пола</x:v>
      </x:c>
      <x:c r="C37" s="17"/>
      <x:c r="D37" s="17" t="s">
        <x:v>14</x:v>
      </x:c>
      <x:c r="E37" s="122" t="n">
        <x:v>34.99</x:v>
      </x:c>
      <x:c r="F37" s="123">
        <x:v>14.99</x:v>
      </x:c>
      <x:c r="G37" s="21"/>
      <x:c r="H37" s="22" t="s">
        <x:v>25</x:v>
      </x:c>
      <x:c r="I37" s="120" t="n">
        <x:f>IF(OR(E37="",F37="",F37&gt;=E37),"",(E37-F37)/E37)</x:f>
        <x:v>0.5715918833952558</x:v>
      </x:c>
      <x:c r="J37" t="str">
        <x:v>PROVIDED</x:v>
      </x:c>
      <x:c r="K37" s="130" t="str"/>
      <x:c r="L37" s="130" t="str">
        <x:v>Original price supplied in Stock list 3.</x:v>
      </x:c>
    </x:row>
    <x:row r="38" ht="14.25" customHeight="1">
      <x:c r="A38" s="14" t="str">
        <x:v>Even&amp;Odd</x:v>
      </x:c>
      <x:c r="B38" s="49" t="str">
        <x:v>Рокля</x:v>
      </x:c>
      <x:c r="C38" s="17" t="s">
        <x:v>59</x:v>
      </x:c>
      <x:c r="D38" s="17" t="s">
        <x:v>11</x:v>
      </x:c>
      <x:c r="E38" s="122" t="n">
        <x:v>29.99</x:v>
      </x:c>
      <x:c r="F38" s="123">
        <x:v>12.99</x:v>
      </x:c>
      <x:c r="G38" s="21"/>
      <x:c r="H38" s="22" t="s">
        <x:v>13</x:v>
      </x:c>
      <x:c r="I38" s="120" t="n">
        <x:f>IF(OR(E38="",F38="",F38&gt;=E38),"",(E38-F38)/E38)</x:f>
        <x:v>0.5668556185395132</x:v>
      </x:c>
      <x:c r="J38" t="str">
        <x:v>PROVIDED</x:v>
      </x:c>
      <x:c r="K38" s="130" t="str"/>
      <x:c r="L38" s="130" t="str">
        <x:v>Original price supplied in Stock list 3.</x:v>
      </x:c>
    </x:row>
    <x:row r="39" ht="14.25" customHeight="1">
      <x:c r="A39" s="14" t="str">
        <x:v>JDY</x:v>
      </x:c>
      <x:c r="B39" s="49" t="str">
        <x:v>Карирана блуза</x:v>
      </x:c>
      <x:c r="C39" s="17"/>
      <x:c r="D39" s="17" t="s">
        <x:v>14</x:v>
      </x:c>
      <x:c r="E39" s="122" t="n">
        <x:v>34.99</x:v>
      </x:c>
      <x:c r="F39" s="123">
        <x:v>16.989999999999998</x:v>
      </x:c>
      <x:c r="G39" s="21"/>
      <x:c r="H39" s="22" t="s">
        <x:v>13</x:v>
      </x:c>
      <x:c r="I39" s="120" t="n">
        <x:f>IF(OR(E39="",F39="",F39&gt;=E39),"",(E39-F39)/E39)</x:f>
        <x:v>0.5144326950557303</x:v>
      </x:c>
      <x:c r="J39" t="str">
        <x:v>PROVIDED</x:v>
      </x:c>
      <x:c r="K39" s="130" t="str"/>
      <x:c r="L39" s="130" t="str">
        <x:v>Original price supplied in Stock list 3.</x:v>
      </x:c>
    </x:row>
    <x:row r="40" ht="14.25" customHeight="1">
      <x:c r="A40" s="14" t="str">
        <x:v>VILA</x:v>
      </x:c>
      <x:c r="B40" s="14" t="str">
        <x:v>Блуза</x:v>
      </x:c>
      <x:c r="C40" s="17" t="s">
        <x:v>17</x:v>
      </x:c>
      <x:c r="D40" s="17" t="s">
        <x:v>32</x:v>
      </x:c>
      <x:c r="E40" s="122" t="n">
        <x:v>39.99</x:v>
      </x:c>
      <x:c r="F40" s="123">
        <x:v>10</x:v>
      </x:c>
      <x:c r="G40" s="21"/>
      <x:c r="H40" s="22" t="s">
        <x:v>33</x:v>
      </x:c>
      <x:c r="I40" s="120" t="n">
        <x:f>IF(OR(E40="",F40="",F40&gt;=E40),"",(E40-F40)/E40)</x:f>
        <x:v>0.7499374843710928</x:v>
      </x:c>
      <x:c r="J40" t="str">
        <x:v>REFERENCE / DEMO</x:v>
      </x:c>
      <x:c r="K40" s="130" t="str"/>
      <x:c r="L40" s="130" t="str">
        <x:v>Exact original price not verified; item is marked sold/taken in the stock notes.</x:v>
      </x:c>
    </x:row>
    <x:row r="41" ht="14.25" customHeight="1">
      <x:c r="A41" s="14" t="str">
        <x:v>Pepe Jeans</x:v>
      </x:c>
      <x:c r="B41" s="49" t="str">
        <x:v>Гащи</x:v>
      </x:c>
      <x:c r="C41" s="17" t="s">
        <x:v>60</x:v>
      </x:c>
      <x:c r="D41" s="48" t="s">
        <x:v>32</x:v>
      </x:c>
      <x:c r="E41" s="122" t="n">
        <x:v>34.5</x:v>
      </x:c>
      <x:c r="F41" s="123">
        <x:v>15.99</x:v>
      </x:c>
      <x:c r="G41" s="21"/>
      <x:c r="H41" s="22" t="s">
        <x:v>61</x:v>
      </x:c>
      <x:c r="I41" s="120" t="n">
        <x:f>IF(OR(E41="",F41="",F41&gt;=E41),"",(E41-F41)/E41)</x:f>
        <x:v>0.5365217391304348</x:v>
      </x:c>
      <x:c r="J41" t="str">
        <x:v>PROVIDED</x:v>
      </x:c>
      <x:c r="K41" s="130" t="str"/>
      <x:c r="L41" s="130" t="str">
        <x:v>Original price supplied in Stock list 3.</x:v>
      </x:c>
    </x:row>
    <x:row r="42" ht="14.25" customHeight="1">
      <x:c r="A42" s="14" t="str">
        <x:v>Nike</x:v>
      </x:c>
      <x:c r="B42" s="14" t="str">
        <x:v>Суитшърт</x:v>
      </x:c>
      <x:c r="C42" s="17"/>
      <x:c r="D42" s="17" t="s">
        <x:v>32</x:v>
      </x:c>
      <x:c r="E42" s="122" t="n">
        <x:v>84.99</x:v>
      </x:c>
      <x:c r="F42" s="123">
        <x:v>29.99</x:v>
      </x:c>
      <x:c r="G42" s="21"/>
      <x:c r="H42" s="22" t="s">
        <x:v>12</x:v>
      </x:c>
      <x:c r="I42" s="120" t="n">
        <x:f>IF(OR(E42="",F42="",F42&gt;=E42),"",(E42-F42)/E42)</x:f>
        <x:v>0.6471349570537711</x:v>
      </x:c>
      <x:c r="J42" t="str">
        <x:v>PROVIDED</x:v>
      </x:c>
      <x:c r="K42" s="130" t="str"/>
      <x:c r="L42" s="130" t="str">
        <x:v>Original price supplied in Stock list 3.</x:v>
      </x:c>
    </x:row>
    <x:row r="43" ht="14.25" customHeight="1">
      <x:c r="A43" s="14" t="str">
        <x:v>VILA</x:v>
      </x:c>
      <x:c r="B43" s="14" t="str">
        <x:v>Рокля</x:v>
      </x:c>
      <x:c r="C43" s="17" t="s">
        <x:v>60</x:v>
      </x:c>
      <x:c r="D43" s="17" t="s">
        <x:v>62</x:v>
      </x:c>
      <x:c r="E43" s="122" t="n">
        <x:v>39.99</x:v>
      </x:c>
      <x:c r="F43" s="123">
        <x:v>17.989999999999998</x:v>
      </x:c>
      <x:c r="G43" s="21"/>
      <x:c r="H43" s="22" t="s">
        <x:v>13</x:v>
      </x:c>
      <x:c r="I43" s="120" t="n">
        <x:f>IF(OR(E43="",F43="",F43&gt;=E43),"",(E43-F43)/E43)</x:f>
        <x:v>0.5501375343835959</x:v>
      </x:c>
      <x:c r="J43" t="str">
        <x:v>PROVIDED</x:v>
      </x:c>
      <x:c r="K43" s="130" t="str"/>
      <x:c r="L43" s="130" t="str">
        <x:v>Original price supplied in Stock list 3.</x:v>
      </x:c>
    </x:row>
    <x:row r="44" ht="14.25" customHeight="1">
      <x:c r="A44" s="14" t="str">
        <x:v>New Look</x:v>
      </x:c>
      <x:c r="B44" s="14" t="str">
        <x:v>Панталон</x:v>
      </x:c>
      <x:c r="C44" s="17"/>
      <x:c r="D44" s="17" t="s">
        <x:v>18</x:v>
      </x:c>
      <x:c r="E44" s="122" t="n">
        <x:v>34.99</x:v>
      </x:c>
      <x:c r="F44" s="123">
        <x:v>13.99</x:v>
      </x:c>
      <x:c r="G44" s="21"/>
      <x:c r="H44" s="22" t="s">
        <x:v>12</x:v>
      </x:c>
      <x:c r="I44" s="120" t="n">
        <x:f>IF(OR(E44="",F44="",F44&gt;=E44),"",(E44-F44)/E44)</x:f>
        <x:v>0.6001714775650185</x:v>
      </x:c>
      <x:c r="J44" t="str">
        <x:v>PROVIDED</x:v>
      </x:c>
      <x:c r="K44" s="130" t="str"/>
      <x:c r="L44" s="130" t="str">
        <x:v>Original price supplied in Stock list 3.</x:v>
      </x:c>
    </x:row>
    <x:row r="45" ht="14.25" customHeight="1">
      <x:c r="A45" s="14" t="str">
        <x:v>Even&amp;Odd</x:v>
      </x:c>
      <x:c r="B45" s="49" t="str">
        <x:v>Рокля</x:v>
      </x:c>
      <x:c r="C45" s="17" t="s">
        <x:v>60</x:v>
      </x:c>
      <x:c r="D45" s="17" t="s">
        <x:v>63</x:v>
      </x:c>
      <x:c r="E45" s="122" t="n">
        <x:v>39.99</x:v>
      </x:c>
      <x:c r="F45" s="123">
        <x:v>19.989999999999998</x:v>
      </x:c>
      <x:c r="G45" s="21"/>
      <x:c r="H45" s="22" t="s">
        <x:v>13</x:v>
      </x:c>
      <x:c r="I45" s="120" t="n">
        <x:f>IF(OR(E45="",F45="",F45&gt;=E45),"",(E45-F45)/E45)</x:f>
        <x:v>0.5001250312578145</x:v>
      </x:c>
      <x:c r="J45" t="str">
        <x:v>PROVIDED</x:v>
      </x:c>
      <x:c r="K45" s="130" t="str"/>
      <x:c r="L45" s="130" t="str">
        <x:v>Original price supplied in Stock list 3.</x:v>
      </x:c>
    </x:row>
    <x:row r="46" ht="14.25" customHeight="1">
      <x:c r="A46" s="14" t="str">
        <x:v>VILA</x:v>
      </x:c>
      <x:c r="B46" s="49" t="str">
        <x:v>Блуза</x:v>
      </x:c>
      <x:c r="C46" s="17" t="s">
        <x:v>64</x:v>
      </x:c>
      <x:c r="D46" s="17" t="s">
        <x:v>32</x:v>
      </x:c>
      <x:c r="E46" s="122" t="n">
        <x:v>39.99</x:v>
      </x:c>
      <x:c r="F46" s="123">
        <x:v>19.989999999999998</x:v>
      </x:c>
      <x:c r="G46" s="21"/>
      <x:c r="H46" s="22" t="s">
        <x:v>13</x:v>
      </x:c>
      <x:c r="I46" s="120" t="n">
        <x:f>IF(OR(E46="",F46="",F46&gt;=E46),"",(E46-F46)/E46)</x:f>
        <x:v>0.5001250312578145</x:v>
      </x:c>
      <x:c r="J46" t="str">
        <x:v>PROVIDED</x:v>
      </x:c>
      <x:c r="K46" s="130" t="str"/>
      <x:c r="L46" s="130" t="str">
        <x:v>Original price supplied in Stock list 3.</x:v>
      </x:c>
    </x:row>
    <x:row r="47" ht="14.25" customHeight="1">
      <x:c r="A47" s="14" t="str">
        <x:v>JDY</x:v>
      </x:c>
      <x:c r="B47" s="14" t="str">
        <x:v>Блуза</x:v>
      </x:c>
      <x:c r="C47" s="17" t="s">
        <x:v>22</x:v>
      </x:c>
      <x:c r="D47" s="17" t="s">
        <x:v>11</x:v>
      </x:c>
      <x:c r="E47" s="122" t="n">
        <x:v>34.99</x:v>
      </x:c>
      <x:c r="F47" s="123">
        <x:v>12.99</x:v>
      </x:c>
      <x:c r="G47" s="21"/>
      <x:c r="H47" s="22" t="s">
        <x:v>13</x:v>
      </x:c>
      <x:c r="I47" s="120" t="n">
        <x:f>IF(OR(E47="",F47="",F47&gt;=E47),"",(E47-F47)/E47)</x:f>
        <x:v>0.6287510717347813</x:v>
      </x:c>
      <x:c r="J47" t="str">
        <x:v>PROVIDED</x:v>
      </x:c>
      <x:c r="K47" s="130" t="str"/>
      <x:c r="L47" s="130" t="str">
        <x:v>Original price supplied in Stock list 3.</x:v>
      </x:c>
    </x:row>
    <x:row r="48" ht="14.25" customHeight="1">
      <x:c r="A48" s="14" t="str">
        <x:v>PIECES</x:v>
      </x:c>
      <x:c r="B48" s="14" t="str">
        <x:v>Рокля</x:v>
      </x:c>
      <x:c r="C48" s="17" t="s">
        <x:v>17</x:v>
      </x:c>
      <x:c r="D48" s="17" t="s">
        <x:v>32</x:v>
      </x:c>
      <x:c r="E48" s="122" t="n">
        <x:v>49.99</x:v>
      </x:c>
      <x:c r="F48" s="123">
        <x:v>19.989999999999998</x:v>
      </x:c>
      <x:c r="G48" s="21"/>
      <x:c r="H48" s="22" t="s">
        <x:v>13</x:v>
      </x:c>
      <x:c r="I48" s="120" t="n">
        <x:f>IF(OR(E48="",F48="",F48&gt;=E48),"",(E48-F48)/E48)</x:f>
        <x:v>0.600120024004801</x:v>
      </x:c>
      <x:c r="J48" t="str">
        <x:v>PROVIDED</x:v>
      </x:c>
      <x:c r="K48" s="130" t="str"/>
      <x:c r="L48" s="130" t="str">
        <x:v>Original price supplied in Stock list 3.</x:v>
      </x:c>
    </x:row>
    <x:row r="49" ht="14.25" customHeight="1">
      <x:c r="A49" s="14" t="str">
        <x:v>DreiMaster</x:v>
      </x:c>
      <x:c r="B49" s="14" t="str">
        <x:v>Яке</x:v>
      </x:c>
      <x:c r="C49" s="17" t="s">
        <x:v>65</x:v>
      </x:c>
      <x:c r="D49" s="17" t="s">
        <x:v>11</x:v>
      </x:c>
      <x:c r="E49" s="122" t="n">
        <x:v>199.95</x:v>
      </x:c>
      <x:c r="F49" s="123">
        <x:v>45.99</x:v>
      </x:c>
      <x:c r="G49" s="21"/>
      <x:c r="H49" s="22" t="s">
        <x:v>26</x:v>
      </x:c>
      <x:c r="I49" s="120" t="n">
        <x:f>IF(OR(E49="",F49="",F49&gt;=E49),"",(E49-F49)/E49)</x:f>
        <x:v>0.7699924981245311</x:v>
      </x:c>
      <x:c r="J49" t="str">
        <x:v>PROVIDED</x:v>
      </x:c>
      <x:c r="K49" s="130" t="str"/>
      <x:c r="L49" s="130" t="str">
        <x:v>Original price supplied in Stock list 3.</x:v>
      </x:c>
    </x:row>
    <x:row r="50" ht="14.25" customHeight="1">
      <x:c r="A50" s="14" t="str">
        <x:v>PIECES</x:v>
      </x:c>
      <x:c r="B50" s="14" t="str">
        <x:v>Блуза</x:v>
      </x:c>
      <x:c r="C50" s="17" t="s">
        <x:v>36</x:v>
      </x:c>
      <x:c r="D50" s="17" t="s">
        <x:v>32</x:v>
      </x:c>
      <x:c r="E50" s="122" t="n">
        <x:v>39.99</x:v>
      </x:c>
      <x:c r="F50" s="123">
        <x:v>14.99</x:v>
      </x:c>
      <x:c r="G50" s="21"/>
      <x:c r="H50" s="22" t="s">
        <x:v>13</x:v>
      </x:c>
      <x:c r="I50" s="120" t="n">
        <x:f>IF(OR(E50="",F50="",F50&gt;=E50),"",(E50-F50)/E50)</x:f>
        <x:v>0.6251562890722681</x:v>
      </x:c>
      <x:c r="J50" t="str">
        <x:v>PROVIDED</x:v>
      </x:c>
      <x:c r="K50" s="130" t="str"/>
      <x:c r="L50" s="130" t="str">
        <x:v>Original price supplied in Stock list 3.</x:v>
      </x:c>
    </x:row>
    <x:row r="51" ht="14.25" customHeight="1">
      <x:c r="A51" s="14" t="str">
        <x:v>Even&amp;Odd</x:v>
      </x:c>
      <x:c r="B51" s="14" t="str">
        <x:v>Пола</x:v>
      </x:c>
      <x:c r="C51" s="17" t="s">
        <x:v>22</x:v>
      </x:c>
      <x:c r="D51" s="25" t="s">
        <x:v>40</x:v>
      </x:c>
      <x:c r="E51" s="122" t="n">
        <x:v>39.99</x:v>
      </x:c>
      <x:c r="F51" s="123">
        <x:v>19.989999999999998</x:v>
      </x:c>
      <x:c r="G51" s="21"/>
      <x:c r="H51" s="22" t="s">
        <x:v>13</x:v>
      </x:c>
      <x:c r="I51" s="120" t="n">
        <x:f>IF(OR(E51="",F51="",F51&gt;=E51),"",(E51-F51)/E51)</x:f>
        <x:v>0.5001250312578145</x:v>
      </x:c>
      <x:c r="J51" t="str">
        <x:v>PROVIDED</x:v>
      </x:c>
      <x:c r="K51" s="130" t="str"/>
      <x:c r="L51" s="130" t="str">
        <x:v>Original price supplied in Stock list 3.</x:v>
      </x:c>
    </x:row>
    <x:row r="52" ht="14.25" customHeight="1">
      <x:c r="A52" s="14" t="str">
        <x:v>Even&amp;Odd</x:v>
      </x:c>
      <x:c r="B52" s="14" t="str">
        <x:v>Туника</x:v>
      </x:c>
      <x:c r="C52" s="17" t="s">
        <x:v>46</x:v>
      </x:c>
      <x:c r="D52" s="17" t="s">
        <x:v>14</x:v>
      </x:c>
      <x:c r="E52" s="122" t="n">
        <x:v>29.99</x:v>
      </x:c>
      <x:c r="F52" s="123">
        <x:v>15.99</x:v>
      </x:c>
      <x:c r="G52" s="21"/>
      <x:c r="H52" s="22" t="s">
        <x:v>13</x:v>
      </x:c>
      <x:c r="I52" s="120" t="n">
        <x:f>IF(OR(E52="",F52="",F52&gt;=E52),"",(E52-F52)/E52)</x:f>
        <x:v>0.46682227409136373</x:v>
      </x:c>
      <x:c r="J52" t="str">
        <x:v>PROVIDED</x:v>
      </x:c>
      <x:c r="K52" s="130" t="str"/>
      <x:c r="L52" s="130" t="str">
        <x:v>Original price supplied in Stock list 3.</x:v>
      </x:c>
    </x:row>
    <x:row r="53" ht="14.25" customHeight="1">
      <x:c r="A53" s="14" t="str">
        <x:v>Violeta by Mango</x:v>
      </x:c>
      <x:c r="B53" s="14" t="str">
        <x:v>Тениска</x:v>
      </x:c>
      <x:c r="C53" s="17" t="s">
        <x:v>36</x:v>
      </x:c>
      <x:c r="D53" s="17" t="s">
        <x:v>24</x:v>
      </x:c>
      <x:c r="E53" s="122" t="n">
        <x:v>29.99</x:v>
      </x:c>
      <x:c r="F53" s="123">
        <x:v>12.99</x:v>
      </x:c>
      <x:c r="G53" s="21"/>
      <x:c r="H53" s="22" t="s">
        <x:v>13</x:v>
      </x:c>
      <x:c r="I53" s="120" t="n">
        <x:f>IF(OR(E53="",F53="",F53&gt;=E53),"",(E53-F53)/E53)</x:f>
        <x:v>0.5668556185395132</x:v>
      </x:c>
      <x:c r="J53" t="str">
        <x:v>PROVIDED</x:v>
      </x:c>
      <x:c r="K53" s="130" t="str"/>
      <x:c r="L53" s="130" t="str">
        <x:v>Original price supplied in Stock list 3.</x:v>
      </x:c>
    </x:row>
    <x:row r="54" ht="14.25" customHeight="1">
      <x:c r="A54" s="14" t="str">
        <x:v>Reebok</x:v>
      </x:c>
      <x:c r="B54" s="14" t="str">
        <x:v>Спортен потник</x:v>
      </x:c>
      <x:c r="C54" s="17" t="s">
        <x:v>66</x:v>
      </x:c>
      <x:c r="D54" s="17" t="s">
        <x:v>37</x:v>
      </x:c>
      <x:c r="E54" s="122" t="n">
        <x:v>32.99</x:v>
      </x:c>
      <x:c r="F54" s="123">
        <x:v>25</x:v>
      </x:c>
      <x:c r="G54" s="21"/>
      <x:c r="H54" s="22" t="s">
        <x:v>67</x:v>
      </x:c>
      <x:c r="I54" s="120" t="n">
        <x:f>IF(OR(E54="",F54="",F54&gt;=E54),"",(E54-F54)/E54)</x:f>
        <x:v>0.24219460442558355</x:v>
      </x:c>
      <x:c r="J54" t="str">
        <x:v>PROVIDED</x:v>
      </x:c>
      <x:c r="K54" s="130" t="str"/>
      <x:c r="L54" s="130" t="str">
        <x:v>Original price supplied in Stock list 3.</x:v>
      </x:c>
    </x:row>
    <x:row r="55" ht="14.25" customHeight="1">
      <x:c r="A55" s="14" t="str">
        <x:v>Noa Noa</x:v>
      </x:c>
      <x:c r="B55" s="14" t="str">
        <x:v>Рокля</x:v>
      </x:c>
      <x:c r="C55" s="17" t="s">
        <x:v>68</x:v>
      </x:c>
      <x:c r="D55" s="17" t="s">
        <x:v>32</x:v>
      </x:c>
      <x:c r="E55" s="122" t="n">
        <x:v>119.95</x:v>
      </x:c>
      <x:c r="F55" s="123">
        <x:v>29.99</x:v>
      </x:c>
      <x:c r="G55" s="21"/>
      <x:c r="H55" s="22" t="s">
        <x:v>26</x:v>
      </x:c>
      <x:c r="I55" s="120" t="n">
        <x:f>IF(OR(E55="",F55="",F55&gt;=E55),"",(E55-F55)/E55)</x:f>
        <x:v>0.7499791579824927</x:v>
      </x:c>
      <x:c r="J55" t="str">
        <x:v>PROVIDED</x:v>
      </x:c>
      <x:c r="K55" s="130" t="str"/>
      <x:c r="L55" s="130" t="str">
        <x:v>Original price supplied in Stock list 3.</x:v>
      </x:c>
    </x:row>
    <x:row r="56" ht="14.25" customHeight="1">
      <x:c r="A56" s="14" t="str">
        <x:v>Even&amp;Odd</x:v>
      </x:c>
      <x:c r="B56" s="14" t="str">
        <x:v>Туника</x:v>
      </x:c>
      <x:c r="C56" s="17" t="s">
        <x:v>46</x:v>
      </x:c>
      <x:c r="D56" s="17" t="s">
        <x:v>14</x:v>
      </x:c>
      <x:c r="E56" s="122" t="n">
        <x:v>39.99</x:v>
      </x:c>
      <x:c r="F56" s="123">
        <x:v>17.989999999999998</x:v>
      </x:c>
      <x:c r="G56" s="21"/>
      <x:c r="H56" s="22" t="s">
        <x:v>26</x:v>
      </x:c>
      <x:c r="I56" s="120" t="n">
        <x:f>IF(OR(E56="",F56="",F56&gt;=E56),"",(E56-F56)/E56)</x:f>
        <x:v>0.5501375343835959</x:v>
      </x:c>
      <x:c r="J56" t="str">
        <x:v>PROVIDED</x:v>
      </x:c>
      <x:c r="K56" s="130" t="str"/>
      <x:c r="L56" s="130" t="str">
        <x:v>Original price supplied in Stock list 3.</x:v>
      </x:c>
    </x:row>
    <x:row r="57" ht="14.25" customHeight="1">
      <x:c r="A57" s="14" t="str">
        <x:v>VILA</x:v>
      </x:c>
      <x:c r="B57" s="14" t="str">
        <x:v>Яке</x:v>
      </x:c>
      <x:c r="C57" s="17" t="s">
        <x:v>69</x:v>
      </x:c>
      <x:c r="D57" s="17" t="s">
        <x:v>37</x:v>
      </x:c>
      <x:c r="E57" s="122" t="n">
        <x:v>64.99</x:v>
      </x:c>
      <x:c r="F57" s="123">
        <x:v>23.99</x:v>
      </x:c>
      <x:c r="G57" s="21"/>
      <x:c r="H57" s="22" t="s">
        <x:v>26</x:v>
      </x:c>
      <x:c r="I57" s="120" t="n">
        <x:f>IF(OR(E57="",F57="",F57&gt;=E57),"",(E57-F57)/E57)</x:f>
        <x:v>0.6308662871210956</x:v>
      </x:c>
      <x:c r="J57" t="str">
        <x:v>PROVIDED</x:v>
      </x:c>
      <x:c r="K57" s="130" t="str"/>
      <x:c r="L57" s="130" t="str">
        <x:v>Original price supplied in Stock list 3.</x:v>
      </x:c>
    </x:row>
    <x:row r="58" ht="14.25" customHeight="1">
      <x:c r="A58" s="14" t="str">
        <x:v>ONLY</x:v>
      </x:c>
      <x:c r="B58" s="14" t="str">
        <x:v>Блуза</x:v>
      </x:c>
      <x:c r="C58" s="17" t="s">
        <x:v>70</x:v>
      </x:c>
      <x:c r="D58" s="17" t="s">
        <x:v>50</x:v>
      </x:c>
      <x:c r="E58" s="122" t="n">
        <x:v>39.99</x:v>
      </x:c>
      <x:c r="F58" s="123">
        <x:v>14.99</x:v>
      </x:c>
      <x:c r="G58" s="21"/>
      <x:c r="H58" s="22" t="s">
        <x:v>13</x:v>
      </x:c>
      <x:c r="I58" s="120" t="n">
        <x:f>IF(OR(E58="",F58="",F58&gt;=E58),"",(E58-F58)/E58)</x:f>
        <x:v>0.6251562890722681</x:v>
      </x:c>
      <x:c r="J58" t="str">
        <x:v>PROVIDED</x:v>
      </x:c>
      <x:c r="K58" s="130" t="str"/>
      <x:c r="L58" s="130" t="str">
        <x:v>Original price supplied in Stock list 3.</x:v>
      </x:c>
    </x:row>
    <x:row r="59" ht="14.25" customHeight="1">
      <x:c r="A59" s="14" t="str">
        <x:v>ONLY</x:v>
      </x:c>
      <x:c r="B59" s="14" t="str">
        <x:v>Потник</x:v>
      </x:c>
      <x:c r="C59" s="17" t="s">
        <x:v>66</x:v>
      </x:c>
      <x:c r="D59" s="17" t="s">
        <x:v>40</x:v>
      </x:c>
      <x:c r="E59" s="122" t="n">
        <x:v>34.99</x:v>
      </x:c>
      <x:c r="F59" s="123">
        <x:v>12.99</x:v>
      </x:c>
      <x:c r="G59" s="21"/>
      <x:c r="H59" s="22" t="s">
        <x:v>41</x:v>
      </x:c>
      <x:c r="I59" s="120" t="n">
        <x:f>IF(OR(E59="",F59="",F59&gt;=E59),"",(E59-F59)/E59)</x:f>
        <x:v>0.6287510717347813</x:v>
      </x:c>
      <x:c r="J59" t="str">
        <x:v>PROVIDED</x:v>
      </x:c>
      <x:c r="K59" s="130" t="str"/>
      <x:c r="L59" s="130" t="str">
        <x:v>Original price supplied in Stock list 3.</x:v>
      </x:c>
    </x:row>
    <x:row r="60" ht="14.25" customHeight="1">
      <x:c r="A60" s="14" t="str">
        <x:v>Icebreaker</x:v>
      </x:c>
      <x:c r="B60" s="14" t="str">
        <x:v>Спортен потник</x:v>
      </x:c>
      <x:c r="C60" s="17"/>
      <x:c r="D60" s="17" t="s">
        <x:v>11</x:v>
      </x:c>
      <x:c r="E60" s="122" t="n">
        <x:v>69.95</x:v>
      </x:c>
      <x:c r="F60" s="123">
        <x:v>19.989999999999998</x:v>
      </x:c>
      <x:c r="G60" s="21"/>
      <x:c r="H60" s="22" t="s">
        <x:v>12</x:v>
      </x:c>
      <x:c r="I60" s="120" t="n">
        <x:f>IF(OR(E60="",F60="",F60&gt;=E60),"",(E60-F60)/E60)</x:f>
        <x:v>0.7142244460328807</x:v>
      </x:c>
      <x:c r="J60" t="str">
        <x:v>PROVIDED</x:v>
      </x:c>
      <x:c r="K60" s="130" t="str"/>
      <x:c r="L60" s="130" t="str">
        <x:v>Original price supplied in Stock list 3.</x:v>
      </x:c>
    </x:row>
    <x:row r="61" ht="14.25" customHeight="1">
      <x:c r="A61" s="14" t="str">
        <x:v>VILA</x:v>
      </x:c>
      <x:c r="B61" s="14" t="str">
        <x:v>Прозираща блуза</x:v>
      </x:c>
      <x:c r="C61" s="17"/>
      <x:c r="D61" s="17" t="s">
        <x:v>11</x:v>
      </x:c>
      <x:c r="E61" s="122" t="n">
        <x:v>26.99</x:v>
      </x:c>
      <x:c r="F61" s="123">
        <x:v>9.99</x:v>
      </x:c>
      <x:c r="G61" s="21"/>
      <x:c r="H61" s="22" t="s">
        <x:v>13</x:v>
      </x:c>
      <x:c r="I61" s="120" t="n">
        <x:f>IF(OR(E61="",F61="",F61&gt;=E61),"",(E61-F61)/E61)</x:f>
        <x:v>0.6298629121896999</x:v>
      </x:c>
      <x:c r="J61" t="str">
        <x:v>PROVIDED</x:v>
      </x:c>
      <x:c r="K61" s="130" t="str"/>
      <x:c r="L61" s="130" t="str">
        <x:v>Original price supplied in Stock list 3.</x:v>
      </x:c>
    </x:row>
    <x:row r="62" ht="14.25" customHeight="1">
      <x:c r="A62" s="14" t="str">
        <x:v>O'Neill</x:v>
      </x:c>
      <x:c r="B62" s="14" t="str">
        <x:v>Вълнено палто</x:v>
      </x:c>
      <x:c r="C62" s="17" t="s">
        <x:v>71</x:v>
      </x:c>
      <x:c r="D62" s="17" t="s">
        <x:v>53</x:v>
      </x:c>
      <x:c r="E62" s="122" t="n">
        <x:v>149.99</x:v>
      </x:c>
      <x:c r="F62" s="123">
        <x:v>35</x:v>
      </x:c>
      <x:c r="G62" s="21"/>
      <x:c r="H62" s="22" t="s">
        <x:v>72</x:v>
      </x:c>
      <x:c r="I62" s="120" t="n">
        <x:f>IF(OR(E62="",F62="",F62&gt;=E62),"",(E62-F62)/E62)</x:f>
        <x:v>0.766651110074005</x:v>
      </x:c>
      <x:c r="J62" t="str">
        <x:v>REFERENCE / DEMO</x:v>
      </x:c>
      <x:c r="K62" s="130" t="str"/>
      <x:c r="L62" s="130" t="str">
        <x:v>Exact original price not verified; item is marked sold/taken in the stock notes.</x:v>
      </x:c>
    </x:row>
    <x:row r="63" ht="14.25" customHeight="1">
      <x:c r="A63" s="14" t="str">
        <x:v>CLOSED</x:v>
      </x:c>
      <x:c r="B63" s="14" t="str">
        <x:v>Рокля</x:v>
      </x:c>
      <x:c r="C63" s="17" t="s">
        <x:v>31</x:v>
      </x:c>
      <x:c r="D63" s="17" t="s">
        <x:v>37</x:v>
      </x:c>
      <x:c r="E63" s="122" t="n">
        <x:v>39.99</x:v>
      </x:c>
      <x:c r="F63" s="123">
        <x:v>19.989999999999998</x:v>
      </x:c>
      <x:c r="G63" s="21"/>
      <x:c r="H63" s="22" t="s">
        <x:v>13</x:v>
      </x:c>
      <x:c r="I63" s="120" t="n">
        <x:f>IF(OR(E63="",F63="",F63&gt;=E63),"",(E63-F63)/E63)</x:f>
        <x:v>0.5001250312578145</x:v>
      </x:c>
      <x:c r="J63" t="str">
        <x:v>PROVIDED</x:v>
      </x:c>
      <x:c r="K63" s="130" t="str"/>
      <x:c r="L63" s="130" t="str">
        <x:v>Original price supplied in Stock list 3.</x:v>
      </x:c>
    </x:row>
    <x:row r="64" ht="14.25" customHeight="1">
      <x:c r="A64" s="14" t="str">
        <x:v>Reebok</x:v>
      </x:c>
      <x:c r="B64" s="14" t="str">
        <x:v>Спортен клин</x:v>
      </x:c>
      <x:c r="C64" s="17"/>
      <x:c r="D64" s="17" t="s">
        <x:v>24</x:v>
      </x:c>
      <x:c r="E64" s="122" t="n">
        <x:v>59.99</x:v>
      </x:c>
      <x:c r="F64" s="123">
        <x:v>22.99</x:v>
      </x:c>
      <x:c r="G64" s="21"/>
      <x:c r="H64" s="22" t="s">
        <x:v>12</x:v>
      </x:c>
      <x:c r="I64" s="120" t="n">
        <x:f>IF(OR(E64="",F64="",F64&gt;=E64),"",(E64-F64)/E64)</x:f>
        <x:v>0.6167694615769295</x:v>
      </x:c>
      <x:c r="J64" t="str">
        <x:v>PROVIDED</x:v>
      </x:c>
      <x:c r="K64" s="130" t="str"/>
      <x:c r="L64" s="130" t="str">
        <x:v>Original price supplied in Stock list 3.</x:v>
      </x:c>
    </x:row>
    <x:row r="65" ht="14.25" customHeight="1">
      <x:c r="A65" s="14" t="str">
        <x:v>Anna Field</x:v>
      </x:c>
      <x:c r="B65" s="14" t="str">
        <x:v>Панталон</x:v>
      </x:c>
      <x:c r="C65" s="17" t="s">
        <x:v>55</x:v>
      </x:c>
      <x:c r="D65" s="17" t="s">
        <x:v>32</x:v>
      </x:c>
      <x:c r="E65" s="122" t="n">
        <x:v>39.99</x:v>
      </x:c>
      <x:c r="F65" s="123">
        <x:v>15.99</x:v>
      </x:c>
      <x:c r="G65" s="21"/>
      <x:c r="H65" s="22" t="s">
        <x:v>12</x:v>
      </x:c>
      <x:c r="I65" s="120" t="n">
        <x:f>IF(OR(E65="",F65="",F65&gt;=E65),"",(E65-F65)/E65)</x:f>
        <x:v>0.6001500375093773</x:v>
      </x:c>
      <x:c r="J65" t="str">
        <x:v>PROVIDED</x:v>
      </x:c>
      <x:c r="K65" s="130" t="str"/>
      <x:c r="L65" s="130" t="str">
        <x:v>Original price supplied in Stock list 3.</x:v>
      </x:c>
    </x:row>
    <x:row r="66" ht="14.25" customHeight="1">
      <x:c r="A66" s="14" t="str">
        <x:v>Even&amp;Odd</x:v>
      </x:c>
      <x:c r="B66" s="14" t="str">
        <x:v>Къса пола</x:v>
      </x:c>
      <x:c r="C66" s="17"/>
      <x:c r="D66" s="17" t="s">
        <x:v>18</x:v>
      </x:c>
      <x:c r="E66" s="122" t="n">
        <x:v>39.99</x:v>
      </x:c>
      <x:c r="F66" s="123">
        <x:v>20</x:v>
      </x:c>
      <x:c r="G66" s="21"/>
      <x:c r="H66" s="22" t="s">
        <x:v>23</x:v>
      </x:c>
      <x:c r="I66" s="120" t="n">
        <x:f>IF(OR(E66="",F66="",F66&gt;=E66),"",(E66-F66)/E66)</x:f>
        <x:v>0.49987496874218557</x:v>
      </x:c>
      <x:c r="J66" t="str">
        <x:v>REFERENCE / DEMO</x:v>
      </x:c>
      <x:c r="K66" s="130" t="str"/>
      <x:c r="L66" s="130" t="str">
        <x:v>Exact original price not verified; item is marked sold/taken in the stock notes.</x:v>
      </x:c>
    </x:row>
    <x:row r="67" ht="14.25" customHeight="1">
      <x:c r="A67" s="14" t="str">
        <x:v>NU-IN</x:v>
      </x:c>
      <x:c r="B67" s="14" t="str">
        <x:v>Бюстие</x:v>
      </x:c>
      <x:c r="C67" s="17"/>
      <x:c r="D67" s="17" t="s">
        <x:v>32</x:v>
      </x:c>
      <x:c r="E67" s="122" t="n">
        <x:v>34.99</x:v>
      </x:c>
      <x:c r="F67" s="123">
        <x:v>14.99</x:v>
      </x:c>
      <x:c r="G67" s="21"/>
      <x:c r="H67" s="22" t="s">
        <x:v>12</x:v>
      </x:c>
      <x:c r="I67" s="120" t="n">
        <x:f>IF(OR(E67="",F67="",F67&gt;=E67),"",(E67-F67)/E67)</x:f>
        <x:v>0.5715918833952558</x:v>
      </x:c>
      <x:c r="J67" t="str">
        <x:v>PROVIDED</x:v>
      </x:c>
      <x:c r="K67" s="130" t="str"/>
      <x:c r="L67" s="130" t="str">
        <x:v>Original price supplied in Stock list 3.</x:v>
      </x:c>
    </x:row>
    <x:row r="68" ht="14.25" customHeight="1">
      <x:c r="A68" s="27" t="str">
        <x:v>NU-IN</x:v>
      </x:c>
      <x:c r="B68" s="27" t="str">
        <x:v>Потник</x:v>
      </x:c>
      <x:c r="C68" s="28"/>
      <x:c r="D68" s="28" t="s">
        <x:v>32</x:v>
      </x:c>
      <x:c r="E68" s="124" t="n">
        <x:v>29.99</x:v>
      </x:c>
      <x:c r="F68" s="125">
        <x:v>11.99</x:v>
      </x:c>
      <x:c r="G68" s="31"/>
      <x:c r="H68" s="22" t="s">
        <x:v>12</x:v>
      </x:c>
      <x:c r="I68" s="120" t="n">
        <x:f>IF(OR(E68="",F68="",F68&gt;=E68),"",(E68-F68)/E68)</x:f>
        <x:v>0.6002000666888964</x:v>
      </x:c>
      <x:c r="J68" t="str">
        <x:v>PROVIDED</x:v>
      </x:c>
      <x:c r="K68" s="130" t="str"/>
      <x:c r="L68" s="130" t="str">
        <x:v>Original price supplied in Stock list 3.</x:v>
      </x:c>
    </x:row>
    <x:row r="69" ht="14.25" customHeight="1">
      <x:c r="A69" s="53" t="s">
        <x:v>73</x:v>
      </x:c>
      <x:c r="B69" s="54"/>
      <x:c r="C69" s="54"/>
      <x:c r="D69" s="54"/>
      <x:c r="E69" s="55"/>
      <x:c r="F69" s="32" t="n">
        <x:f>SUM(F3:F68)</x:f>
        <x:v>1382.4800000000005</x:v>
      </x:c>
      <x:c r="G69" s="11"/>
      <x:c r="I69" t="str"/>
    </x:row>
    <x:row r="70" ht="14.25" customHeight="1">
      <x:c r="A70" s="33"/>
      <x:c r="B70" s="33"/>
      <x:c r="C70" s="33"/>
      <x:c r="D70" s="33"/>
      <x:c r="E70" s="33"/>
      <x:c r="F70" s="34"/>
      <x:c r="G70" s="33"/>
      <x:c r="H70" s="33"/>
      <x:c r="I70" s="33"/>
      <x:c r="J70" s="33"/>
      <x:c r="K70" s="33"/>
    </x:row>
    <x:row r="71" ht="14.25" customHeight="1">
      <x:c r="A71" s="33"/>
      <x:c r="B71" s="33"/>
      <x:c r="C71" s="33"/>
      <x:c r="D71" s="33"/>
      <x:c r="E71" s="33"/>
      <x:c r="F71" s="34"/>
      <x:c r="G71" s="33"/>
      <x:c r="H71" s="33"/>
      <x:c r="I71" s="33"/>
      <x:c r="J71" s="33"/>
      <x:c r="K71" s="33"/>
    </x:row>
    <x:row r="72" ht="14.25" customHeight="1">
      <x:c r="A72" s="33"/>
      <x:c r="B72" s="33"/>
      <x:c r="C72" s="33"/>
      <x:c r="D72" s="33"/>
      <x:c r="E72" s="33"/>
      <x:c r="F72" s="34"/>
      <x:c r="G72" s="33"/>
      <x:c r="H72" s="33"/>
      <x:c r="I72" s="33"/>
      <x:c r="J72" s="33"/>
      <x:c r="K72" s="33"/>
    </x:row>
    <x:row r="73" ht="14.25" customHeight="1">
      <x:c r="A73" s="33"/>
      <x:c r="B73" s="33"/>
      <x:c r="C73" s="33"/>
      <x:c r="D73" s="33"/>
      <x:c r="E73" s="33"/>
      <x:c r="F73" s="34"/>
      <x:c r="G73" s="33"/>
      <x:c r="H73" s="33"/>
      <x:c r="I73" s="33"/>
      <x:c r="J73" s="33"/>
      <x:c r="K73" s="33"/>
    </x:row>
    <x:row r="74" ht="14.25" customHeight="1">
      <x:c r="A74" s="33"/>
      <x:c r="B74" s="33"/>
      <x:c r="C74" s="33"/>
      <x:c r="D74" s="33"/>
      <x:c r="E74" s="33"/>
      <x:c r="F74" s="34"/>
      <x:c r="G74" s="33"/>
      <x:c r="H74" s="33"/>
      <x:c r="I74" s="33"/>
      <x:c r="J74" s="33"/>
      <x:c r="K74" s="33"/>
    </x:row>
    <x:row r="75" ht="14.25" customHeight="1">
      <x:c r="A75" s="33"/>
      <x:c r="B75" s="33"/>
      <x:c r="C75" s="33"/>
      <x:c r="D75" s="33"/>
      <x:c r="E75" s="33"/>
      <x:c r="F75" s="34"/>
      <x:c r="G75" s="33"/>
      <x:c r="H75" s="33"/>
      <x:c r="I75" s="33"/>
      <x:c r="J75" s="33"/>
      <x:c r="K75" s="33"/>
    </x:row>
    <x:row r="76" ht="14.25" customHeight="1">
      <x:c r="A76" s="33"/>
      <x:c r="B76" s="33"/>
      <x:c r="C76" s="33"/>
      <x:c r="D76" s="33"/>
      <x:c r="E76" s="33"/>
      <x:c r="F76" s="34"/>
      <x:c r="G76" s="33"/>
      <x:c r="H76" s="33"/>
      <x:c r="I76" s="33"/>
      <x:c r="J76" s="33"/>
      <x:c r="K76" s="33"/>
    </x:row>
    <x:row r="77" ht="14.25" customHeight="1">
      <x:c r="A77" s="33"/>
      <x:c r="B77" s="33"/>
      <x:c r="C77" s="33"/>
      <x:c r="D77" s="33"/>
      <x:c r="E77" s="33"/>
      <x:c r="F77" s="34"/>
      <x:c r="G77" s="33"/>
      <x:c r="H77" s="33"/>
      <x:c r="I77" s="33"/>
      <x:c r="J77" s="33"/>
      <x:c r="K77" s="33"/>
    </x:row>
    <x:row r="78" ht="14.25" customHeight="1">
      <x:c r="A78" s="33"/>
      <x:c r="B78" s="33"/>
      <x:c r="C78" s="33"/>
      <x:c r="D78" s="33"/>
      <x:c r="E78" s="33"/>
      <x:c r="F78" s="34"/>
      <x:c r="G78" s="33"/>
      <x:c r="H78" s="33"/>
      <x:c r="I78" s="33"/>
      <x:c r="J78" s="33"/>
      <x:c r="K78" s="33"/>
    </x:row>
    <x:row r="79" ht="14.25" customHeight="1">
      <x:c r="A79" s="33"/>
      <x:c r="B79" s="33"/>
      <x:c r="C79" s="33"/>
      <x:c r="D79" s="33"/>
      <x:c r="E79" s="33"/>
      <x:c r="F79" s="34"/>
      <x:c r="G79" s="33"/>
      <x:c r="H79" s="33"/>
      <x:c r="I79" s="33"/>
      <x:c r="J79" s="33"/>
      <x:c r="K79" s="33"/>
    </x:row>
    <x:row r="80" ht="14.25" customHeight="1">
      <x:c r="A80" s="33"/>
      <x:c r="B80" s="33"/>
      <x:c r="C80" s="33"/>
      <x:c r="D80" s="33"/>
      <x:c r="E80" s="33"/>
      <x:c r="F80" s="34"/>
      <x:c r="G80" s="33"/>
      <x:c r="H80" s="33"/>
      <x:c r="I80" s="33"/>
      <x:c r="J80" s="33"/>
      <x:c r="K80" s="33"/>
    </x:row>
    <x:row r="81" ht="14.25" customHeight="1">
      <x:c r="A81" s="33"/>
      <x:c r="B81" s="33"/>
      <x:c r="C81" s="33"/>
      <x:c r="D81" s="33"/>
      <x:c r="E81" s="33"/>
      <x:c r="F81" s="34"/>
      <x:c r="G81" s="33"/>
      <x:c r="H81" s="33"/>
      <x:c r="I81" s="33"/>
      <x:c r="J81" s="33"/>
      <x:c r="K81" s="33"/>
    </x:row>
    <x:row r="82" ht="14.25" customHeight="1">
      <x:c r="A82" s="33"/>
      <x:c r="B82" s="33"/>
      <x:c r="C82" s="33"/>
      <x:c r="D82" s="33"/>
      <x:c r="E82" s="33"/>
      <x:c r="F82" s="34"/>
      <x:c r="G82" s="33"/>
      <x:c r="H82" s="33"/>
      <x:c r="I82" s="33"/>
      <x:c r="J82" s="33"/>
      <x:c r="K82" s="33"/>
    </x:row>
    <x:row r="83" ht="14.25" customHeight="1">
      <x:c r="A83" s="33"/>
      <x:c r="B83" s="33"/>
      <x:c r="C83" s="33"/>
      <x:c r="D83" s="33"/>
      <x:c r="E83" s="33"/>
      <x:c r="F83" s="34"/>
      <x:c r="G83" s="33"/>
      <x:c r="H83" s="33"/>
      <x:c r="I83" s="33"/>
      <x:c r="J83" s="33"/>
      <x:c r="K83" s="33"/>
    </x:row>
    <x:row r="84" ht="14.25" customHeight="1">
      <x:c r="A84" s="33"/>
      <x:c r="B84" s="33"/>
      <x:c r="C84" s="33"/>
      <x:c r="D84" s="33"/>
      <x:c r="E84" s="33"/>
      <x:c r="F84" s="34"/>
      <x:c r="G84" s="33"/>
      <x:c r="H84" s="33"/>
      <x:c r="I84" s="33"/>
      <x:c r="J84" s="33"/>
      <x:c r="K84" s="33"/>
    </x:row>
    <x:row r="85" ht="14.25" customHeight="1">
      <x:c r="A85" s="33"/>
      <x:c r="B85" s="33"/>
      <x:c r="C85" s="33"/>
      <x:c r="D85" s="33"/>
      <x:c r="E85" s="33"/>
      <x:c r="F85" s="34"/>
      <x:c r="G85" s="33"/>
      <x:c r="H85" s="33"/>
      <x:c r="I85" s="33"/>
      <x:c r="J85" s="33"/>
      <x:c r="K85" s="33"/>
    </x:row>
    <x:row r="86" ht="14.25" customHeight="1">
      <x:c r="A86" s="33"/>
      <x:c r="B86" s="33"/>
      <x:c r="C86" s="33"/>
      <x:c r="D86" s="33"/>
      <x:c r="E86" s="33"/>
      <x:c r="F86" s="34"/>
      <x:c r="G86" s="33"/>
      <x:c r="H86" s="33"/>
      <x:c r="I86" s="33"/>
      <x:c r="J86" s="33"/>
      <x:c r="K86" s="33"/>
    </x:row>
    <x:row r="87" ht="14.25" customHeight="1">
      <x:c r="A87" s="33"/>
      <x:c r="B87" s="33"/>
      <x:c r="C87" s="33"/>
      <x:c r="D87" s="33"/>
      <x:c r="E87" s="33"/>
      <x:c r="F87" s="34"/>
      <x:c r="G87" s="33"/>
      <x:c r="H87" s="33"/>
      <x:c r="I87" s="33"/>
      <x:c r="J87" s="33"/>
      <x:c r="K87" s="33"/>
    </x:row>
    <x:row r="88" ht="14.25" customHeight="1">
      <x:c r="A88" s="33"/>
      <x:c r="B88" s="33"/>
      <x:c r="C88" s="33"/>
      <x:c r="D88" s="33"/>
      <x:c r="E88" s="33"/>
      <x:c r="F88" s="34"/>
      <x:c r="G88" s="33"/>
      <x:c r="H88" s="33"/>
      <x:c r="I88" s="33"/>
      <x:c r="J88" s="33"/>
      <x:c r="K88" s="33"/>
    </x:row>
    <x:row r="89" ht="14.25" customHeight="1">
      <x:c r="A89" s="33"/>
      <x:c r="B89" s="33"/>
      <x:c r="C89" s="33"/>
      <x:c r="D89" s="33"/>
      <x:c r="E89" s="33"/>
      <x:c r="F89" s="34"/>
      <x:c r="G89" s="33"/>
      <x:c r="H89" s="33"/>
      <x:c r="I89" s="33"/>
      <x:c r="J89" s="33"/>
      <x:c r="K89" s="33"/>
    </x:row>
    <x:row r="90" ht="14.25" customHeight="1">
      <x:c r="A90" s="33"/>
      <x:c r="B90" s="33"/>
      <x:c r="C90" s="33"/>
      <x:c r="D90" s="33"/>
      <x:c r="E90" s="33"/>
      <x:c r="F90" s="34"/>
      <x:c r="G90" s="33"/>
      <x:c r="H90" s="33"/>
      <x:c r="I90" s="33"/>
      <x:c r="J90" s="33"/>
      <x:c r="K90" s="33"/>
    </x:row>
    <x:row r="91" ht="14.25" customHeight="1">
      <x:c r="A91" s="33"/>
      <x:c r="B91" s="33"/>
      <x:c r="C91" s="33"/>
      <x:c r="D91" s="33"/>
      <x:c r="E91" s="33"/>
      <x:c r="F91" s="34"/>
      <x:c r="G91" s="33"/>
      <x:c r="H91" s="33"/>
      <x:c r="I91" s="33"/>
      <x:c r="J91" s="33"/>
      <x:c r="K91" s="33"/>
    </x:row>
    <x:row r="92" ht="14.25" customHeight="1">
      <x:c r="A92" s="33"/>
      <x:c r="B92" s="33"/>
      <x:c r="C92" s="33"/>
      <x:c r="D92" s="33"/>
      <x:c r="E92" s="33"/>
      <x:c r="F92" s="34"/>
      <x:c r="G92" s="33"/>
      <x:c r="H92" s="33"/>
      <x:c r="I92" s="33"/>
      <x:c r="J92" s="33"/>
      <x:c r="K92" s="33"/>
    </x:row>
    <x:row r="93" ht="14.25" customHeight="1">
      <x:c r="A93" s="33"/>
      <x:c r="B93" s="33"/>
      <x:c r="C93" s="33"/>
      <x:c r="D93" s="33"/>
      <x:c r="E93" s="33"/>
      <x:c r="F93" s="34"/>
      <x:c r="G93" s="33"/>
      <x:c r="H93" s="33"/>
      <x:c r="I93" s="33"/>
      <x:c r="J93" s="33"/>
      <x:c r="K93" s="33"/>
    </x:row>
    <x:row r="94" ht="14.25" customHeight="1">
      <x:c r="A94" s="33"/>
      <x:c r="B94" s="33"/>
      <x:c r="C94" s="33"/>
      <x:c r="D94" s="33"/>
      <x:c r="E94" s="33"/>
      <x:c r="F94" s="34"/>
      <x:c r="G94" s="33"/>
      <x:c r="H94" s="33"/>
      <x:c r="I94" s="33"/>
      <x:c r="J94" s="33"/>
      <x:c r="K94" s="33"/>
    </x:row>
    <x:row r="95" ht="14.25" customHeight="1">
      <x:c r="A95" s="33"/>
      <x:c r="B95" s="33"/>
      <x:c r="C95" s="33"/>
      <x:c r="D95" s="33"/>
      <x:c r="E95" s="33"/>
      <x:c r="F95" s="34"/>
      <x:c r="G95" s="33"/>
      <x:c r="H95" s="33"/>
      <x:c r="I95" s="33"/>
      <x:c r="J95" s="33"/>
      <x:c r="K95" s="33"/>
    </x:row>
    <x:row r="96" ht="14.25" customHeight="1">
      <x:c r="A96" s="33"/>
      <x:c r="B96" s="33"/>
      <x:c r="C96" s="33"/>
      <x:c r="D96" s="33"/>
      <x:c r="E96" s="33"/>
      <x:c r="F96" s="34"/>
      <x:c r="G96" s="33"/>
      <x:c r="H96" s="33"/>
      <x:c r="I96" s="33"/>
      <x:c r="J96" s="33"/>
      <x:c r="K96" s="33"/>
    </x:row>
    <x:row r="97" ht="14.25" customHeight="1">
      <x:c r="A97" s="33"/>
      <x:c r="B97" s="33"/>
      <x:c r="C97" s="33"/>
      <x:c r="D97" s="33"/>
      <x:c r="E97" s="33"/>
      <x:c r="F97" s="34"/>
      <x:c r="G97" s="33"/>
      <x:c r="H97" s="33"/>
      <x:c r="I97" s="33"/>
      <x:c r="J97" s="33"/>
      <x:c r="K97" s="33"/>
    </x:row>
    <x:row r="98" ht="14.25" customHeight="1">
      <x:c r="A98" s="33"/>
      <x:c r="B98" s="33"/>
      <x:c r="C98" s="33"/>
      <x:c r="D98" s="33"/>
      <x:c r="E98" s="33"/>
      <x:c r="F98" s="34"/>
      <x:c r="G98" s="33"/>
      <x:c r="H98" s="33"/>
      <x:c r="I98" s="33"/>
      <x:c r="J98" s="33"/>
      <x:c r="K98" s="33"/>
    </x:row>
    <x:row r="99" ht="14.25" customHeight="1">
      <x:c r="A99" s="33"/>
      <x:c r="B99" s="33"/>
      <x:c r="C99" s="33"/>
      <x:c r="D99" s="33"/>
      <x:c r="E99" s="33"/>
      <x:c r="F99" s="34"/>
      <x:c r="G99" s="33"/>
      <x:c r="H99" s="33"/>
      <x:c r="I99" s="33"/>
      <x:c r="J99" s="33"/>
      <x:c r="K99" s="33"/>
    </x:row>
    <x:row r="100" ht="14.25" customHeight="1">
      <x:c r="A100" s="33"/>
      <x:c r="B100" s="33"/>
      <x:c r="C100" s="33"/>
      <x:c r="D100" s="33"/>
      <x:c r="E100" s="33"/>
      <x:c r="F100" s="34"/>
      <x:c r="G100" s="33"/>
      <x:c r="H100" s="33"/>
      <x:c r="I100" s="33"/>
      <x:c r="J100" s="33"/>
      <x:c r="K100" s="33"/>
    </x:row>
    <x:row r="101" ht="14.25" customHeight="1">
      <x:c r="A101" s="33"/>
      <x:c r="B101" s="33"/>
      <x:c r="C101" s="33"/>
      <x:c r="D101" s="33"/>
      <x:c r="E101" s="33"/>
      <x:c r="F101" s="34"/>
      <x:c r="G101" s="33"/>
      <x:c r="H101" s="33"/>
      <x:c r="I101" s="33"/>
      <x:c r="J101" s="33"/>
      <x:c r="K101" s="33"/>
    </x:row>
    <x:row r="102" ht="14.25" customHeight="1">
      <x:c r="A102" s="33"/>
      <x:c r="B102" s="33"/>
      <x:c r="C102" s="33"/>
      <x:c r="D102" s="33"/>
      <x:c r="E102" s="33"/>
      <x:c r="F102" s="34"/>
      <x:c r="G102" s="33"/>
      <x:c r="H102" s="33"/>
      <x:c r="I102" s="33"/>
      <x:c r="J102" s="33"/>
      <x:c r="K102" s="33"/>
    </x:row>
    <x:row r="103" ht="14.25" customHeight="1">
      <x:c r="A103" s="33"/>
      <x:c r="B103" s="33"/>
      <x:c r="C103" s="33"/>
      <x:c r="D103" s="33"/>
      <x:c r="E103" s="33"/>
      <x:c r="F103" s="34"/>
      <x:c r="G103" s="33"/>
      <x:c r="H103" s="33"/>
      <x:c r="I103" s="33"/>
      <x:c r="J103" s="33"/>
      <x:c r="K103" s="33"/>
    </x:row>
    <x:row r="104" ht="14.25" customHeight="1">
      <x:c r="A104" s="33"/>
      <x:c r="B104" s="33"/>
      <x:c r="C104" s="33"/>
      <x:c r="D104" s="33"/>
      <x:c r="E104" s="33"/>
      <x:c r="F104" s="34"/>
      <x:c r="G104" s="33"/>
      <x:c r="H104" s="33"/>
      <x:c r="I104" s="33"/>
      <x:c r="J104" s="33"/>
      <x:c r="K104" s="33"/>
    </x:row>
    <x:row r="105" ht="14.25" customHeight="1">
      <x:c r="A105" s="33"/>
      <x:c r="B105" s="33"/>
      <x:c r="C105" s="33"/>
      <x:c r="D105" s="33"/>
      <x:c r="E105" s="33"/>
      <x:c r="F105" s="34"/>
      <x:c r="G105" s="33"/>
      <x:c r="H105" s="33"/>
      <x:c r="I105" s="33"/>
      <x:c r="J105" s="33"/>
      <x:c r="K105" s="33"/>
    </x:row>
    <x:row r="106" ht="14.25" customHeight="1">
      <x:c r="A106" s="33"/>
      <x:c r="B106" s="33"/>
      <x:c r="C106" s="33"/>
      <x:c r="D106" s="33"/>
      <x:c r="E106" s="33"/>
      <x:c r="F106" s="34"/>
      <x:c r="G106" s="33"/>
      <x:c r="H106" s="33"/>
      <x:c r="I106" s="33"/>
      <x:c r="J106" s="33"/>
      <x:c r="K106" s="33"/>
    </x:row>
    <x:row r="107" ht="14.25" customHeight="1">
      <x:c r="A107" s="33"/>
      <x:c r="B107" s="33"/>
      <x:c r="C107" s="33"/>
      <x:c r="D107" s="33"/>
      <x:c r="E107" s="33"/>
      <x:c r="F107" s="34"/>
      <x:c r="G107" s="33"/>
      <x:c r="H107" s="33"/>
      <x:c r="I107" s="33"/>
      <x:c r="J107" s="33"/>
      <x:c r="K107" s="33"/>
    </x:row>
    <x:row r="108" ht="14.25" customHeight="1">
      <x:c r="A108" s="33"/>
      <x:c r="B108" s="33"/>
      <x:c r="C108" s="33"/>
      <x:c r="D108" s="33"/>
      <x:c r="E108" s="33"/>
      <x:c r="F108" s="34"/>
      <x:c r="G108" s="33"/>
      <x:c r="H108" s="33"/>
      <x:c r="I108" s="33"/>
      <x:c r="J108" s="33"/>
      <x:c r="K108" s="33"/>
    </x:row>
    <x:row r="109" ht="14.25" customHeight="1">
      <x:c r="A109" s="33"/>
      <x:c r="B109" s="33"/>
      <x:c r="C109" s="33"/>
      <x:c r="D109" s="33"/>
      <x:c r="E109" s="33"/>
      <x:c r="F109" s="34"/>
      <x:c r="G109" s="33"/>
      <x:c r="H109" s="33"/>
      <x:c r="I109" s="33"/>
      <x:c r="J109" s="33"/>
      <x:c r="K109" s="33"/>
    </x:row>
    <x:row r="110" ht="14.25" customHeight="1">
      <x:c r="A110" s="33"/>
      <x:c r="B110" s="33"/>
      <x:c r="C110" s="33"/>
      <x:c r="D110" s="33"/>
      <x:c r="E110" s="33"/>
      <x:c r="F110" s="34"/>
      <x:c r="G110" s="33"/>
      <x:c r="H110" s="33"/>
      <x:c r="I110" s="33"/>
      <x:c r="J110" s="33"/>
      <x:c r="K110" s="33"/>
    </x:row>
    <x:row r="111" ht="14.25" customHeight="1">
      <x:c r="A111" s="33"/>
      <x:c r="B111" s="33"/>
      <x:c r="C111" s="33"/>
      <x:c r="D111" s="33"/>
      <x:c r="E111" s="33"/>
      <x:c r="F111" s="34"/>
      <x:c r="G111" s="33"/>
      <x:c r="H111" s="33"/>
      <x:c r="I111" s="33"/>
      <x:c r="J111" s="33"/>
      <x:c r="K111" s="33"/>
    </x:row>
    <x:row r="112" ht="14.25" customHeight="1">
      <x:c r="A112" s="33"/>
      <x:c r="B112" s="33"/>
      <x:c r="C112" s="33"/>
      <x:c r="D112" s="33"/>
      <x:c r="E112" s="33"/>
      <x:c r="F112" s="34"/>
      <x:c r="G112" s="33"/>
      <x:c r="H112" s="33"/>
      <x:c r="I112" s="33"/>
      <x:c r="J112" s="33"/>
      <x:c r="K112" s="33"/>
    </x:row>
    <x:row r="113" ht="14.25" customHeight="1">
      <x:c r="A113" s="33"/>
      <x:c r="B113" s="33"/>
      <x:c r="C113" s="33"/>
      <x:c r="D113" s="33"/>
      <x:c r="E113" s="33"/>
      <x:c r="F113" s="34"/>
      <x:c r="G113" s="33"/>
      <x:c r="H113" s="33"/>
      <x:c r="I113" s="33"/>
      <x:c r="J113" s="33"/>
      <x:c r="K113" s="33"/>
    </x:row>
    <x:row r="114" ht="14.25" customHeight="1">
      <x:c r="A114" s="33"/>
      <x:c r="B114" s="33"/>
      <x:c r="C114" s="33"/>
      <x:c r="D114" s="33"/>
      <x:c r="E114" s="33"/>
      <x:c r="F114" s="34"/>
      <x:c r="G114" s="33"/>
      <x:c r="H114" s="33"/>
      <x:c r="I114" s="33"/>
      <x:c r="J114" s="33"/>
      <x:c r="K114" s="33"/>
    </x:row>
    <x:row r="115" ht="14.25" customHeight="1">
      <x:c r="A115" s="33"/>
      <x:c r="B115" s="33"/>
      <x:c r="C115" s="33"/>
      <x:c r="D115" s="33"/>
      <x:c r="E115" s="33"/>
      <x:c r="F115" s="34"/>
      <x:c r="G115" s="33"/>
      <x:c r="H115" s="33"/>
      <x:c r="I115" s="33"/>
      <x:c r="J115" s="33"/>
      <x:c r="K115" s="33"/>
    </x:row>
    <x:row r="116" ht="14.25" customHeight="1">
      <x:c r="A116" s="33"/>
      <x:c r="B116" s="33"/>
      <x:c r="C116" s="33"/>
      <x:c r="D116" s="33"/>
      <x:c r="E116" s="33"/>
      <x:c r="F116" s="34"/>
      <x:c r="G116" s="33"/>
      <x:c r="H116" s="33"/>
      <x:c r="I116" s="33"/>
      <x:c r="J116" s="33"/>
      <x:c r="K116" s="33"/>
    </x:row>
    <x:row r="117" ht="14.25" customHeight="1">
      <x:c r="A117" s="33"/>
      <x:c r="B117" s="33"/>
      <x:c r="C117" s="33"/>
      <x:c r="D117" s="33"/>
      <x:c r="E117" s="33"/>
      <x:c r="F117" s="34"/>
      <x:c r="G117" s="33"/>
      <x:c r="H117" s="33"/>
      <x:c r="I117" s="33"/>
      <x:c r="J117" s="33"/>
      <x:c r="K117" s="33"/>
    </x:row>
    <x:row r="118" ht="14.25" customHeight="1">
      <x:c r="A118" s="33"/>
      <x:c r="B118" s="33"/>
      <x:c r="C118" s="33"/>
      <x:c r="D118" s="33"/>
      <x:c r="E118" s="33"/>
      <x:c r="F118" s="34"/>
      <x:c r="G118" s="33"/>
      <x:c r="H118" s="33"/>
      <x:c r="I118" s="33"/>
      <x:c r="J118" s="33"/>
      <x:c r="K118" s="33"/>
    </x:row>
    <x:row r="119" ht="14.25" customHeight="1">
      <x:c r="A119" s="33"/>
      <x:c r="B119" s="33"/>
      <x:c r="C119" s="33"/>
      <x:c r="D119" s="33"/>
      <x:c r="E119" s="33"/>
      <x:c r="F119" s="34"/>
      <x:c r="G119" s="33"/>
      <x:c r="H119" s="33"/>
      <x:c r="I119" s="33"/>
      <x:c r="J119" s="33"/>
      <x:c r="K119" s="33"/>
    </x:row>
    <x:row r="120" ht="14.25" customHeight="1">
      <x:c r="A120" s="33"/>
      <x:c r="B120" s="33"/>
      <x:c r="C120" s="33"/>
      <x:c r="D120" s="33"/>
      <x:c r="E120" s="33"/>
      <x:c r="F120" s="34"/>
      <x:c r="G120" s="33"/>
      <x:c r="H120" s="33"/>
      <x:c r="I120" s="33"/>
      <x:c r="J120" s="33"/>
      <x:c r="K120" s="33"/>
    </x:row>
    <x:row r="121" ht="14.25" customHeight="1">
      <x:c r="A121" s="33"/>
      <x:c r="B121" s="33"/>
      <x:c r="C121" s="33"/>
      <x:c r="D121" s="33"/>
      <x:c r="E121" s="33"/>
      <x:c r="F121" s="34"/>
      <x:c r="G121" s="33"/>
      <x:c r="H121" s="33"/>
      <x:c r="I121" s="33"/>
      <x:c r="J121" s="33"/>
      <x:c r="K121" s="33"/>
    </x:row>
    <x:row r="122" ht="14.25" customHeight="1">
      <x:c r="A122" s="33"/>
      <x:c r="B122" s="33"/>
      <x:c r="C122" s="33"/>
      <x:c r="D122" s="33"/>
      <x:c r="E122" s="33"/>
      <x:c r="F122" s="34"/>
      <x:c r="G122" s="33"/>
      <x:c r="H122" s="33"/>
      <x:c r="I122" s="33"/>
      <x:c r="J122" s="33"/>
      <x:c r="K122" s="33"/>
    </x:row>
    <x:row r="123" ht="14.25" customHeight="1">
      <x:c r="A123" s="33"/>
      <x:c r="B123" s="33"/>
      <x:c r="C123" s="33"/>
      <x:c r="D123" s="33"/>
      <x:c r="E123" s="33"/>
      <x:c r="F123" s="34"/>
      <x:c r="G123" s="33"/>
      <x:c r="H123" s="33"/>
      <x:c r="I123" s="33"/>
      <x:c r="J123" s="33"/>
      <x:c r="K123" s="33"/>
    </x:row>
    <x:row r="124" ht="14.25" customHeight="1">
      <x:c r="A124" s="33"/>
      <x:c r="B124" s="33"/>
      <x:c r="C124" s="33"/>
      <x:c r="D124" s="33"/>
      <x:c r="E124" s="33"/>
      <x:c r="F124" s="34"/>
      <x:c r="G124" s="33"/>
      <x:c r="H124" s="33"/>
      <x:c r="I124" s="33"/>
      <x:c r="J124" s="33"/>
      <x:c r="K124" s="33"/>
    </x:row>
    <x:row r="125" ht="14.25" customHeight="1">
      <x:c r="A125" s="33"/>
      <x:c r="B125" s="33"/>
      <x:c r="C125" s="33"/>
      <x:c r="D125" s="33"/>
      <x:c r="E125" s="33"/>
      <x:c r="F125" s="34"/>
      <x:c r="G125" s="33"/>
      <x:c r="H125" s="33"/>
      <x:c r="I125" s="33"/>
      <x:c r="J125" s="33"/>
      <x:c r="K125" s="33"/>
    </x:row>
    <x:row r="126" ht="14.25" customHeight="1">
      <x:c r="A126" s="33"/>
      <x:c r="B126" s="33"/>
      <x:c r="C126" s="33"/>
      <x:c r="D126" s="33"/>
      <x:c r="E126" s="33"/>
      <x:c r="F126" s="34"/>
      <x:c r="G126" s="33"/>
      <x:c r="H126" s="33"/>
      <x:c r="I126" s="33"/>
      <x:c r="J126" s="33"/>
      <x:c r="K126" s="33"/>
    </x:row>
    <x:row r="127" ht="14.25" customHeight="1">
      <x:c r="A127" s="33"/>
      <x:c r="B127" s="33"/>
      <x:c r="C127" s="33"/>
      <x:c r="D127" s="33"/>
      <x:c r="E127" s="33"/>
      <x:c r="F127" s="34"/>
      <x:c r="G127" s="33"/>
      <x:c r="H127" s="33"/>
      <x:c r="I127" s="33"/>
      <x:c r="J127" s="33"/>
      <x:c r="K127" s="33"/>
    </x:row>
    <x:row r="128" ht="14.25" customHeight="1">
      <x:c r="A128" s="33"/>
      <x:c r="B128" s="33"/>
      <x:c r="C128" s="33"/>
      <x:c r="D128" s="33"/>
      <x:c r="E128" s="33"/>
      <x:c r="F128" s="34"/>
      <x:c r="G128" s="33"/>
      <x:c r="H128" s="33"/>
      <x:c r="I128" s="33"/>
      <x:c r="J128" s="33"/>
      <x:c r="K128" s="33"/>
    </x:row>
    <x:row r="129" ht="14.25" customHeight="1">
      <x:c r="A129" s="33"/>
      <x:c r="B129" s="33"/>
      <x:c r="C129" s="33"/>
      <x:c r="D129" s="33"/>
      <x:c r="E129" s="33"/>
      <x:c r="F129" s="34"/>
      <x:c r="G129" s="33"/>
      <x:c r="H129" s="33"/>
      <x:c r="I129" s="33"/>
      <x:c r="J129" s="33"/>
      <x:c r="K129" s="33"/>
    </x:row>
    <x:row r="130" ht="14.25" customHeight="1">
      <x:c r="A130" s="33"/>
      <x:c r="B130" s="33"/>
      <x:c r="C130" s="33"/>
      <x:c r="D130" s="33"/>
      <x:c r="E130" s="33"/>
      <x:c r="F130" s="34"/>
      <x:c r="G130" s="33"/>
      <x:c r="H130" s="33"/>
      <x:c r="I130" s="33"/>
      <x:c r="J130" s="33"/>
      <x:c r="K130" s="33"/>
    </x:row>
    <x:row r="131" ht="14.25" customHeight="1">
      <x:c r="A131" s="33"/>
      <x:c r="B131" s="33"/>
      <x:c r="C131" s="33"/>
      <x:c r="D131" s="33"/>
      <x:c r="E131" s="33"/>
      <x:c r="F131" s="34"/>
      <x:c r="G131" s="33"/>
      <x:c r="H131" s="33"/>
      <x:c r="I131" s="33"/>
      <x:c r="J131" s="33"/>
      <x:c r="K131" s="33"/>
    </x:row>
    <x:row r="132" ht="14.25" customHeight="1">
      <x:c r="A132" s="33"/>
      <x:c r="B132" s="33"/>
      <x:c r="C132" s="33"/>
      <x:c r="D132" s="33"/>
      <x:c r="E132" s="33"/>
      <x:c r="F132" s="34"/>
      <x:c r="G132" s="33"/>
      <x:c r="H132" s="33"/>
      <x:c r="I132" s="33"/>
      <x:c r="J132" s="33"/>
      <x:c r="K132" s="33"/>
    </x:row>
    <x:row r="133" ht="14.25" customHeight="1">
      <x:c r="A133" s="33"/>
      <x:c r="B133" s="33"/>
      <x:c r="C133" s="33"/>
      <x:c r="D133" s="33"/>
      <x:c r="E133" s="33"/>
      <x:c r="F133" s="34"/>
      <x:c r="G133" s="33"/>
      <x:c r="H133" s="33"/>
      <x:c r="I133" s="33"/>
      <x:c r="J133" s="33"/>
      <x:c r="K133" s="33"/>
    </x:row>
    <x:row r="134" ht="14.25" customHeight="1">
      <x:c r="A134" s="33"/>
      <x:c r="B134" s="33"/>
      <x:c r="C134" s="33"/>
      <x:c r="D134" s="33"/>
      <x:c r="E134" s="33"/>
      <x:c r="F134" s="34"/>
      <x:c r="G134" s="33"/>
      <x:c r="H134" s="33"/>
      <x:c r="I134" s="33"/>
      <x:c r="J134" s="33"/>
      <x:c r="K134" s="33"/>
    </x:row>
    <x:row r="135" ht="14.25" customHeight="1">
      <x:c r="A135" s="33"/>
      <x:c r="B135" s="33"/>
      <x:c r="C135" s="33"/>
      <x:c r="D135" s="33"/>
      <x:c r="E135" s="33"/>
      <x:c r="F135" s="34"/>
      <x:c r="G135" s="33"/>
      <x:c r="H135" s="33"/>
      <x:c r="I135" s="33"/>
      <x:c r="J135" s="33"/>
      <x:c r="K135" s="33"/>
    </x:row>
    <x:row r="136" ht="14.25" customHeight="1">
      <x:c r="A136" s="33"/>
      <x:c r="B136" s="33"/>
      <x:c r="C136" s="33"/>
      <x:c r="D136" s="33"/>
      <x:c r="E136" s="33"/>
      <x:c r="F136" s="34"/>
      <x:c r="G136" s="33"/>
      <x:c r="H136" s="33"/>
      <x:c r="I136" s="33"/>
      <x:c r="J136" s="33"/>
      <x:c r="K136" s="33"/>
    </x:row>
    <x:row r="137" ht="14.25" customHeight="1">
      <x:c r="A137" s="33"/>
      <x:c r="B137" s="33"/>
      <x:c r="C137" s="33"/>
      <x:c r="D137" s="33"/>
      <x:c r="E137" s="33"/>
      <x:c r="F137" s="34"/>
      <x:c r="G137" s="33"/>
      <x:c r="H137" s="33"/>
      <x:c r="I137" s="33"/>
      <x:c r="J137" s="33"/>
      <x:c r="K137" s="33"/>
    </x:row>
    <x:row r="138" ht="14.25" customHeight="1">
      <x:c r="A138" s="33"/>
      <x:c r="B138" s="33"/>
      <x:c r="C138" s="33"/>
      <x:c r="D138" s="33"/>
      <x:c r="E138" s="33"/>
      <x:c r="F138" s="34"/>
      <x:c r="G138" s="33"/>
      <x:c r="H138" s="33"/>
      <x:c r="I138" s="33"/>
      <x:c r="J138" s="33"/>
      <x:c r="K138" s="33"/>
    </x:row>
    <x:row r="139" ht="14.25" customHeight="1">
      <x:c r="A139" s="33"/>
      <x:c r="B139" s="33"/>
      <x:c r="C139" s="33"/>
      <x:c r="D139" s="33"/>
      <x:c r="E139" s="33"/>
      <x:c r="F139" s="34"/>
      <x:c r="G139" s="33"/>
      <x:c r="H139" s="33"/>
      <x:c r="I139" s="33"/>
      <x:c r="J139" s="33"/>
      <x:c r="K139" s="33"/>
    </x:row>
    <x:row r="140" ht="14.25" customHeight="1">
      <x:c r="A140" s="33"/>
      <x:c r="B140" s="33"/>
      <x:c r="C140" s="33"/>
      <x:c r="D140" s="33"/>
      <x:c r="E140" s="33"/>
      <x:c r="F140" s="34"/>
      <x:c r="G140" s="33"/>
      <x:c r="H140" s="33"/>
      <x:c r="I140" s="33"/>
      <x:c r="J140" s="33"/>
      <x:c r="K140" s="33"/>
    </x:row>
    <x:row r="141" ht="14.25" customHeight="1">
      <x:c r="A141" s="33"/>
      <x:c r="B141" s="33"/>
      <x:c r="C141" s="33"/>
      <x:c r="D141" s="33"/>
      <x:c r="E141" s="33"/>
      <x:c r="F141" s="34"/>
      <x:c r="G141" s="33"/>
      <x:c r="H141" s="33"/>
      <x:c r="I141" s="33"/>
      <x:c r="J141" s="33"/>
      <x:c r="K141" s="33"/>
    </x:row>
    <x:row r="142" ht="14.25" customHeight="1">
      <x:c r="A142" s="33"/>
      <x:c r="B142" s="33"/>
      <x:c r="C142" s="33"/>
      <x:c r="D142" s="33"/>
      <x:c r="E142" s="33"/>
      <x:c r="F142" s="34"/>
      <x:c r="G142" s="33"/>
      <x:c r="H142" s="33"/>
      <x:c r="I142" s="33"/>
      <x:c r="J142" s="33"/>
      <x:c r="K142" s="33"/>
    </x:row>
    <x:row r="143" ht="14.25" customHeight="1">
      <x:c r="A143" s="33"/>
      <x:c r="B143" s="33"/>
      <x:c r="C143" s="33"/>
      <x:c r="D143" s="33"/>
      <x:c r="E143" s="33"/>
      <x:c r="F143" s="34"/>
      <x:c r="G143" s="33"/>
      <x:c r="H143" s="33"/>
      <x:c r="I143" s="33"/>
      <x:c r="J143" s="33"/>
      <x:c r="K143" s="33"/>
    </x:row>
    <x:row r="144" ht="14.25" customHeight="1">
      <x:c r="A144" s="33"/>
      <x:c r="B144" s="33"/>
      <x:c r="C144" s="33"/>
      <x:c r="D144" s="33"/>
      <x:c r="E144" s="33"/>
      <x:c r="F144" s="34"/>
      <x:c r="G144" s="33"/>
      <x:c r="H144" s="33"/>
      <x:c r="I144" s="33"/>
      <x:c r="J144" s="33"/>
      <x:c r="K144" s="33"/>
    </x:row>
    <x:row r="145" ht="14.25" customHeight="1">
      <x:c r="A145" s="33"/>
      <x:c r="B145" s="33"/>
      <x:c r="C145" s="33"/>
      <x:c r="D145" s="33"/>
      <x:c r="E145" s="33"/>
      <x:c r="F145" s="34"/>
      <x:c r="G145" s="33"/>
      <x:c r="H145" s="33"/>
      <x:c r="I145" s="33"/>
      <x:c r="J145" s="33"/>
      <x:c r="K145" s="33"/>
    </x:row>
    <x:row r="146" ht="14.25" customHeight="1">
      <x:c r="A146" s="33"/>
      <x:c r="B146" s="33"/>
      <x:c r="C146" s="33"/>
      <x:c r="D146" s="33"/>
      <x:c r="E146" s="33"/>
      <x:c r="F146" s="34"/>
      <x:c r="G146" s="33"/>
      <x:c r="H146" s="33"/>
      <x:c r="I146" s="33"/>
      <x:c r="J146" s="33"/>
      <x:c r="K146" s="33"/>
    </x:row>
    <x:row r="147" ht="14.25" customHeight="1">
      <x:c r="A147" s="33"/>
      <x:c r="B147" s="33"/>
      <x:c r="C147" s="33"/>
      <x:c r="D147" s="33"/>
      <x:c r="E147" s="33"/>
      <x:c r="F147" s="34"/>
      <x:c r="G147" s="33"/>
      <x:c r="H147" s="33"/>
      <x:c r="I147" s="33"/>
      <x:c r="J147" s="33"/>
      <x:c r="K147" s="33"/>
    </x:row>
    <x:row r="148" ht="14.25" customHeight="1">
      <x:c r="A148" s="33"/>
      <x:c r="B148" s="33"/>
      <x:c r="C148" s="33"/>
      <x:c r="D148" s="33"/>
      <x:c r="E148" s="33"/>
      <x:c r="F148" s="34"/>
      <x:c r="G148" s="33"/>
      <x:c r="H148" s="33"/>
      <x:c r="I148" s="33"/>
      <x:c r="J148" s="33"/>
      <x:c r="K148" s="33"/>
    </x:row>
    <x:row r="149" ht="14.25" customHeight="1">
      <x:c r="A149" s="33"/>
      <x:c r="B149" s="33"/>
      <x:c r="C149" s="33"/>
      <x:c r="D149" s="33"/>
      <x:c r="E149" s="33"/>
      <x:c r="F149" s="34"/>
      <x:c r="G149" s="33"/>
      <x:c r="H149" s="33"/>
      <x:c r="I149" s="33"/>
      <x:c r="J149" s="33"/>
      <x:c r="K149" s="33"/>
    </x:row>
    <x:row r="150" ht="14.25" customHeight="1">
      <x:c r="A150" s="33"/>
      <x:c r="B150" s="33"/>
      <x:c r="C150" s="33"/>
      <x:c r="D150" s="33"/>
      <x:c r="E150" s="33"/>
      <x:c r="F150" s="34"/>
      <x:c r="G150" s="33"/>
      <x:c r="H150" s="33"/>
      <x:c r="I150" s="33"/>
      <x:c r="J150" s="33"/>
      <x:c r="K150" s="33"/>
    </x:row>
    <x:row r="151" ht="14.25" customHeight="1">
      <x:c r="A151" s="33"/>
      <x:c r="B151" s="33"/>
      <x:c r="C151" s="33"/>
      <x:c r="D151" s="33"/>
      <x:c r="E151" s="33"/>
      <x:c r="F151" s="34"/>
      <x:c r="G151" s="33"/>
      <x:c r="H151" s="33"/>
      <x:c r="I151" s="33"/>
      <x:c r="J151" s="33"/>
      <x:c r="K151" s="33"/>
    </x:row>
    <x:row r="152" ht="14.25" customHeight="1">
      <x:c r="A152" s="33"/>
      <x:c r="B152" s="33"/>
      <x:c r="C152" s="33"/>
      <x:c r="D152" s="33"/>
      <x:c r="E152" s="33"/>
      <x:c r="F152" s="34"/>
      <x:c r="G152" s="33"/>
      <x:c r="H152" s="33"/>
      <x:c r="I152" s="33"/>
      <x:c r="J152" s="33"/>
      <x:c r="K152" s="33"/>
    </x:row>
    <x:row r="153" ht="14.25" customHeight="1">
      <x:c r="A153" s="33"/>
      <x:c r="B153" s="33"/>
      <x:c r="C153" s="33"/>
      <x:c r="D153" s="33"/>
      <x:c r="E153" s="33"/>
      <x:c r="F153" s="34"/>
      <x:c r="G153" s="33"/>
      <x:c r="H153" s="33"/>
      <x:c r="I153" s="33"/>
      <x:c r="J153" s="33"/>
      <x:c r="K153" s="33"/>
    </x:row>
    <x:row r="154" ht="14.25" customHeight="1">
      <x:c r="A154" s="33"/>
      <x:c r="B154" s="33"/>
      <x:c r="C154" s="33"/>
      <x:c r="D154" s="33"/>
      <x:c r="E154" s="33"/>
      <x:c r="F154" s="34"/>
      <x:c r="G154" s="33"/>
      <x:c r="H154" s="33"/>
      <x:c r="I154" s="33"/>
      <x:c r="J154" s="33"/>
      <x:c r="K154" s="33"/>
    </x:row>
    <x:row r="155" ht="14.25" customHeight="1">
      <x:c r="A155" s="33"/>
      <x:c r="B155" s="33"/>
      <x:c r="C155" s="33"/>
      <x:c r="D155" s="33"/>
      <x:c r="E155" s="33"/>
      <x:c r="F155" s="34"/>
      <x:c r="G155" s="33"/>
      <x:c r="H155" s="33"/>
      <x:c r="I155" s="33"/>
      <x:c r="J155" s="33"/>
      <x:c r="K155" s="33"/>
    </x:row>
    <x:row r="156" ht="14.25" customHeight="1">
      <x:c r="A156" s="33"/>
      <x:c r="B156" s="33"/>
      <x:c r="C156" s="33"/>
      <x:c r="D156" s="33"/>
      <x:c r="E156" s="33"/>
      <x:c r="F156" s="34"/>
      <x:c r="G156" s="33"/>
      <x:c r="H156" s="33"/>
      <x:c r="I156" s="33"/>
      <x:c r="J156" s="33"/>
      <x:c r="K156" s="33"/>
    </x:row>
    <x:row r="157" ht="14.25" customHeight="1">
      <x:c r="A157" s="33"/>
      <x:c r="B157" s="33"/>
      <x:c r="C157" s="33"/>
      <x:c r="D157" s="33"/>
      <x:c r="E157" s="33"/>
      <x:c r="F157" s="34"/>
      <x:c r="G157" s="33"/>
      <x:c r="H157" s="33"/>
      <x:c r="I157" s="33"/>
      <x:c r="J157" s="33"/>
      <x:c r="K157" s="33"/>
    </x:row>
    <x:row r="158" ht="14.25" customHeight="1">
      <x:c r="A158" s="33"/>
      <x:c r="B158" s="33"/>
      <x:c r="C158" s="33"/>
      <x:c r="D158" s="33"/>
      <x:c r="E158" s="33"/>
      <x:c r="F158" s="34"/>
      <x:c r="G158" s="33"/>
      <x:c r="H158" s="33"/>
      <x:c r="I158" s="33"/>
      <x:c r="J158" s="33"/>
      <x:c r="K158" s="33"/>
    </x:row>
    <x:row r="159" ht="14.25" customHeight="1">
      <x:c r="A159" s="33"/>
      <x:c r="B159" s="33"/>
      <x:c r="C159" s="33"/>
      <x:c r="D159" s="33"/>
      <x:c r="E159" s="33"/>
      <x:c r="F159" s="34"/>
      <x:c r="G159" s="33"/>
      <x:c r="H159" s="33"/>
      <x:c r="I159" s="33"/>
      <x:c r="J159" s="33"/>
      <x:c r="K159" s="33"/>
    </x:row>
    <x:row r="160" ht="14.25" customHeight="1">
      <x:c r="A160" s="33"/>
      <x:c r="B160" s="33"/>
      <x:c r="C160" s="33"/>
      <x:c r="D160" s="33"/>
      <x:c r="E160" s="33"/>
      <x:c r="F160" s="34"/>
      <x:c r="G160" s="33"/>
      <x:c r="H160" s="33"/>
      <x:c r="I160" s="33"/>
      <x:c r="J160" s="33"/>
      <x:c r="K160" s="33"/>
    </x:row>
    <x:row r="161" ht="14.25" customHeight="1">
      <x:c r="A161" s="33"/>
      <x:c r="B161" s="33"/>
      <x:c r="C161" s="33"/>
      <x:c r="D161" s="33"/>
      <x:c r="E161" s="33"/>
      <x:c r="F161" s="34"/>
      <x:c r="G161" s="33"/>
      <x:c r="H161" s="33"/>
      <x:c r="I161" s="33"/>
      <x:c r="J161" s="33"/>
      <x:c r="K161" s="33"/>
    </x:row>
    <x:row r="162" ht="14.25" customHeight="1">
      <x:c r="A162" s="33"/>
      <x:c r="B162" s="33"/>
      <x:c r="C162" s="33"/>
      <x:c r="D162" s="33"/>
      <x:c r="E162" s="33"/>
      <x:c r="F162" s="34"/>
      <x:c r="G162" s="33"/>
      <x:c r="H162" s="33"/>
      <x:c r="I162" s="33"/>
      <x:c r="J162" s="33"/>
      <x:c r="K162" s="33"/>
    </x:row>
    <x:row r="163" ht="14.25" customHeight="1">
      <x:c r="A163" s="33"/>
      <x:c r="B163" s="33"/>
      <x:c r="C163" s="33"/>
      <x:c r="D163" s="33"/>
      <x:c r="E163" s="33"/>
      <x:c r="F163" s="34"/>
      <x:c r="G163" s="33"/>
      <x:c r="H163" s="33"/>
      <x:c r="I163" s="33"/>
      <x:c r="J163" s="33"/>
      <x:c r="K163" s="33"/>
    </x:row>
    <x:row r="164" ht="14.25" customHeight="1">
      <x:c r="A164" s="33"/>
      <x:c r="B164" s="33"/>
      <x:c r="C164" s="33"/>
      <x:c r="D164" s="33"/>
      <x:c r="E164" s="33"/>
      <x:c r="F164" s="34"/>
      <x:c r="G164" s="33"/>
      <x:c r="H164" s="33"/>
      <x:c r="I164" s="33"/>
      <x:c r="J164" s="33"/>
      <x:c r="K164" s="33"/>
    </x:row>
    <x:row r="165" ht="14.25" customHeight="1">
      <x:c r="A165" s="33"/>
      <x:c r="B165" s="33"/>
      <x:c r="C165" s="33"/>
      <x:c r="D165" s="33"/>
      <x:c r="E165" s="33"/>
      <x:c r="F165" s="34"/>
      <x:c r="G165" s="33"/>
      <x:c r="H165" s="33"/>
      <x:c r="I165" s="33"/>
      <x:c r="J165" s="33"/>
      <x:c r="K165" s="33"/>
    </x:row>
    <x:row r="166" ht="14.25" customHeight="1">
      <x:c r="A166" s="33"/>
      <x:c r="B166" s="33"/>
      <x:c r="C166" s="33"/>
      <x:c r="D166" s="33"/>
      <x:c r="E166" s="33"/>
      <x:c r="F166" s="34"/>
      <x:c r="G166" s="33"/>
      <x:c r="H166" s="33"/>
      <x:c r="I166" s="33"/>
      <x:c r="J166" s="33"/>
      <x:c r="K166" s="33"/>
    </x:row>
    <x:row r="167" ht="14.25" customHeight="1">
      <x:c r="A167" s="33"/>
      <x:c r="B167" s="33"/>
      <x:c r="C167" s="33"/>
      <x:c r="D167" s="33"/>
      <x:c r="E167" s="33"/>
      <x:c r="F167" s="34"/>
      <x:c r="G167" s="33"/>
      <x:c r="H167" s="33"/>
      <x:c r="I167" s="33"/>
      <x:c r="J167" s="33"/>
      <x:c r="K167" s="33"/>
    </x:row>
    <x:row r="168" ht="14.25" customHeight="1">
      <x:c r="A168" s="33"/>
      <x:c r="B168" s="33"/>
      <x:c r="C168" s="33"/>
      <x:c r="D168" s="33"/>
      <x:c r="E168" s="33"/>
      <x:c r="F168" s="34"/>
      <x:c r="G168" s="33"/>
      <x:c r="H168" s="33"/>
      <x:c r="I168" s="33"/>
      <x:c r="J168" s="33"/>
      <x:c r="K168" s="33"/>
    </x:row>
    <x:row r="169" ht="14.25" customHeight="1">
      <x:c r="A169" s="33"/>
      <x:c r="B169" s="33"/>
      <x:c r="C169" s="33"/>
      <x:c r="D169" s="33"/>
      <x:c r="E169" s="33"/>
      <x:c r="F169" s="34"/>
      <x:c r="G169" s="33"/>
      <x:c r="H169" s="33"/>
      <x:c r="I169" s="33"/>
      <x:c r="J169" s="33"/>
      <x:c r="K169" s="33"/>
    </x:row>
    <x:row r="170" ht="14.25" customHeight="1">
      <x:c r="A170" s="33"/>
      <x:c r="B170" s="33"/>
      <x:c r="C170" s="33"/>
      <x:c r="D170" s="33"/>
      <x:c r="E170" s="33"/>
      <x:c r="F170" s="34"/>
      <x:c r="G170" s="33"/>
      <x:c r="H170" s="33"/>
      <x:c r="I170" s="33"/>
      <x:c r="J170" s="33"/>
      <x:c r="K170" s="33"/>
    </x:row>
    <x:row r="171" ht="14.25" customHeight="1">
      <x:c r="A171" s="33"/>
      <x:c r="B171" s="33"/>
      <x:c r="C171" s="33"/>
      <x:c r="D171" s="33"/>
      <x:c r="E171" s="33"/>
      <x:c r="F171" s="34"/>
      <x:c r="G171" s="33"/>
      <x:c r="H171" s="33"/>
      <x:c r="I171" s="33"/>
      <x:c r="J171" s="33"/>
      <x:c r="K171" s="33"/>
    </x:row>
    <x:row r="172" ht="14.25" customHeight="1">
      <x:c r="A172" s="33"/>
      <x:c r="B172" s="33"/>
      <x:c r="C172" s="33"/>
      <x:c r="D172" s="33"/>
      <x:c r="E172" s="33"/>
      <x:c r="F172" s="34"/>
      <x:c r="G172" s="33"/>
      <x:c r="H172" s="33"/>
      <x:c r="I172" s="33"/>
      <x:c r="J172" s="33"/>
      <x:c r="K172" s="33"/>
    </x:row>
    <x:row r="173" ht="14.25" customHeight="1">
      <x:c r="A173" s="33"/>
      <x:c r="B173" s="33"/>
      <x:c r="C173" s="33"/>
      <x:c r="D173" s="33"/>
      <x:c r="E173" s="33"/>
      <x:c r="F173" s="34"/>
      <x:c r="G173" s="33"/>
      <x:c r="H173" s="33"/>
      <x:c r="I173" s="33"/>
      <x:c r="J173" s="33"/>
      <x:c r="K173" s="33"/>
    </x:row>
    <x:row r="174" ht="14.25" customHeight="1">
      <x:c r="A174" s="33"/>
      <x:c r="B174" s="33"/>
      <x:c r="C174" s="33"/>
      <x:c r="D174" s="33"/>
      <x:c r="E174" s="33"/>
      <x:c r="F174" s="34"/>
      <x:c r="G174" s="33"/>
      <x:c r="H174" s="33"/>
      <x:c r="I174" s="33"/>
      <x:c r="J174" s="33"/>
      <x:c r="K174" s="33"/>
    </x:row>
    <x:row r="175" ht="14.25" customHeight="1">
      <x:c r="A175" s="33"/>
      <x:c r="B175" s="33"/>
      <x:c r="C175" s="33"/>
      <x:c r="D175" s="33"/>
      <x:c r="E175" s="33"/>
      <x:c r="F175" s="34"/>
      <x:c r="G175" s="33"/>
      <x:c r="H175" s="33"/>
      <x:c r="I175" s="33"/>
      <x:c r="J175" s="33"/>
      <x:c r="K175" s="33"/>
    </x:row>
    <x:row r="176" ht="14.25" customHeight="1">
      <x:c r="A176" s="33"/>
      <x:c r="B176" s="33"/>
      <x:c r="C176" s="33"/>
      <x:c r="D176" s="33"/>
      <x:c r="E176" s="33"/>
      <x:c r="F176" s="34"/>
      <x:c r="G176" s="33"/>
      <x:c r="H176" s="33"/>
      <x:c r="I176" s="33"/>
      <x:c r="J176" s="33"/>
      <x:c r="K176" s="33"/>
    </x:row>
    <x:row r="177" ht="14.25" customHeight="1">
      <x:c r="A177" s="33"/>
      <x:c r="B177" s="33"/>
      <x:c r="C177" s="33"/>
      <x:c r="D177" s="33"/>
      <x:c r="E177" s="33"/>
      <x:c r="F177" s="34"/>
      <x:c r="G177" s="33"/>
      <x:c r="H177" s="33"/>
      <x:c r="I177" s="33"/>
      <x:c r="J177" s="33"/>
      <x:c r="K177" s="33"/>
    </x:row>
    <x:row r="178" ht="14.25" customHeight="1">
      <x:c r="A178" s="33"/>
      <x:c r="B178" s="33"/>
      <x:c r="C178" s="33"/>
      <x:c r="D178" s="33"/>
      <x:c r="E178" s="33"/>
      <x:c r="F178" s="34"/>
      <x:c r="G178" s="33"/>
      <x:c r="H178" s="33"/>
      <x:c r="I178" s="33"/>
      <x:c r="J178" s="33"/>
      <x:c r="K178" s="33"/>
    </x:row>
    <x:row r="179" ht="14.25" customHeight="1">
      <x:c r="A179" s="33"/>
      <x:c r="B179" s="33"/>
      <x:c r="C179" s="33"/>
      <x:c r="D179" s="33"/>
      <x:c r="E179" s="33"/>
      <x:c r="F179" s="34"/>
      <x:c r="G179" s="33"/>
      <x:c r="H179" s="33"/>
      <x:c r="I179" s="33"/>
      <x:c r="J179" s="33"/>
      <x:c r="K179" s="33"/>
    </x:row>
    <x:row r="180" ht="14.25" customHeight="1">
      <x:c r="A180" s="33"/>
      <x:c r="B180" s="33"/>
      <x:c r="C180" s="33"/>
      <x:c r="D180" s="33"/>
      <x:c r="E180" s="33"/>
      <x:c r="F180" s="34"/>
      <x:c r="G180" s="33"/>
      <x:c r="H180" s="33"/>
      <x:c r="I180" s="33"/>
      <x:c r="J180" s="33"/>
      <x:c r="K180" s="33"/>
    </x:row>
    <x:row r="181" ht="14.25" customHeight="1">
      <x:c r="A181" s="33"/>
      <x:c r="B181" s="33"/>
      <x:c r="C181" s="33"/>
      <x:c r="D181" s="33"/>
      <x:c r="E181" s="33"/>
      <x:c r="F181" s="34"/>
      <x:c r="G181" s="33"/>
      <x:c r="H181" s="33"/>
      <x:c r="I181" s="33"/>
      <x:c r="J181" s="33"/>
      <x:c r="K181" s="33"/>
    </x:row>
    <x:row r="182" ht="14.25" customHeight="1">
      <x:c r="A182" s="33"/>
      <x:c r="B182" s="33"/>
      <x:c r="C182" s="33"/>
      <x:c r="D182" s="33"/>
      <x:c r="E182" s="33"/>
      <x:c r="F182" s="34"/>
      <x:c r="G182" s="33"/>
      <x:c r="H182" s="33"/>
      <x:c r="I182" s="33"/>
      <x:c r="J182" s="33"/>
      <x:c r="K182" s="33"/>
    </x:row>
    <x:row r="183" ht="14.25" customHeight="1">
      <x:c r="A183" s="33"/>
      <x:c r="B183" s="33"/>
      <x:c r="C183" s="33"/>
      <x:c r="D183" s="33"/>
      <x:c r="E183" s="33"/>
      <x:c r="F183" s="34"/>
      <x:c r="G183" s="33"/>
      <x:c r="H183" s="33"/>
      <x:c r="I183" s="33"/>
      <x:c r="J183" s="33"/>
      <x:c r="K183" s="33"/>
    </x:row>
    <x:row r="184" ht="14.25" customHeight="1">
      <x:c r="A184" s="33"/>
      <x:c r="B184" s="33"/>
      <x:c r="C184" s="33"/>
      <x:c r="D184" s="33"/>
      <x:c r="E184" s="33"/>
      <x:c r="F184" s="34"/>
      <x:c r="G184" s="33"/>
      <x:c r="H184" s="33"/>
      <x:c r="I184" s="33"/>
      <x:c r="J184" s="33"/>
      <x:c r="K184" s="33"/>
    </x:row>
    <x:row r="185" ht="14.25" customHeight="1">
      <x:c r="A185" s="33"/>
      <x:c r="B185" s="33"/>
      <x:c r="C185" s="33"/>
      <x:c r="D185" s="33"/>
      <x:c r="E185" s="33"/>
      <x:c r="F185" s="34"/>
      <x:c r="G185" s="33"/>
      <x:c r="H185" s="33"/>
      <x:c r="I185" s="33"/>
      <x:c r="J185" s="33"/>
      <x:c r="K185" s="33"/>
    </x:row>
    <x:row r="186" ht="14.25" customHeight="1">
      <x:c r="A186" s="33"/>
      <x:c r="B186" s="33"/>
      <x:c r="C186" s="33"/>
      <x:c r="D186" s="33"/>
      <x:c r="E186" s="33"/>
      <x:c r="F186" s="34"/>
      <x:c r="G186" s="33"/>
      <x:c r="H186" s="33"/>
      <x:c r="I186" s="33"/>
      <x:c r="J186" s="33"/>
      <x:c r="K186" s="33"/>
    </x:row>
    <x:row r="187" ht="14.25" customHeight="1">
      <x:c r="A187" s="33"/>
      <x:c r="B187" s="33"/>
      <x:c r="C187" s="33"/>
      <x:c r="D187" s="33"/>
      <x:c r="E187" s="33"/>
      <x:c r="F187" s="34"/>
      <x:c r="G187" s="33"/>
      <x:c r="H187" s="33"/>
      <x:c r="I187" s="33"/>
      <x:c r="J187" s="33"/>
      <x:c r="K187" s="33"/>
    </x:row>
    <x:row r="188" ht="14.25" customHeight="1">
      <x:c r="A188" s="33"/>
      <x:c r="B188" s="33"/>
      <x:c r="C188" s="33"/>
      <x:c r="D188" s="33"/>
      <x:c r="E188" s="33"/>
      <x:c r="F188" s="34"/>
      <x:c r="G188" s="33"/>
      <x:c r="H188" s="33"/>
      <x:c r="I188" s="33"/>
      <x:c r="J188" s="33"/>
      <x:c r="K188" s="33"/>
    </x:row>
    <x:row r="189" ht="14.25" customHeight="1">
      <x:c r="A189" s="33"/>
      <x:c r="B189" s="33"/>
      <x:c r="C189" s="33"/>
      <x:c r="D189" s="33"/>
      <x:c r="E189" s="33"/>
      <x:c r="F189" s="34"/>
      <x:c r="G189" s="33"/>
      <x:c r="H189" s="33"/>
      <x:c r="I189" s="33"/>
      <x:c r="J189" s="33"/>
      <x:c r="K189" s="33"/>
    </x:row>
    <x:row r="190" ht="14.25" customHeight="1">
      <x:c r="A190" s="33"/>
      <x:c r="B190" s="33"/>
      <x:c r="C190" s="33"/>
      <x:c r="D190" s="33"/>
      <x:c r="E190" s="33"/>
      <x:c r="F190" s="34"/>
      <x:c r="G190" s="33"/>
      <x:c r="H190" s="33"/>
      <x:c r="I190" s="33"/>
      <x:c r="J190" s="33"/>
      <x:c r="K190" s="33"/>
    </x:row>
    <x:row r="191" ht="14.25" customHeight="1">
      <x:c r="A191" s="33"/>
      <x:c r="B191" s="33"/>
      <x:c r="C191" s="33"/>
      <x:c r="D191" s="33"/>
      <x:c r="E191" s="33"/>
      <x:c r="F191" s="34"/>
      <x:c r="G191" s="33"/>
      <x:c r="H191" s="33"/>
      <x:c r="I191" s="33"/>
      <x:c r="J191" s="33"/>
      <x:c r="K191" s="33"/>
    </x:row>
    <x:row r="192" ht="14.25" customHeight="1">
      <x:c r="A192" s="33"/>
      <x:c r="B192" s="33"/>
      <x:c r="C192" s="33"/>
      <x:c r="D192" s="33"/>
      <x:c r="E192" s="33"/>
      <x:c r="F192" s="34"/>
      <x:c r="G192" s="33"/>
      <x:c r="H192" s="33"/>
      <x:c r="I192" s="33"/>
      <x:c r="J192" s="33"/>
      <x:c r="K192" s="33"/>
    </x:row>
    <x:row r="193" ht="14.25" customHeight="1">
      <x:c r="A193" s="33"/>
      <x:c r="B193" s="33"/>
      <x:c r="C193" s="33"/>
      <x:c r="D193" s="33"/>
      <x:c r="E193" s="33"/>
      <x:c r="F193" s="34"/>
      <x:c r="G193" s="33"/>
      <x:c r="H193" s="33"/>
      <x:c r="I193" s="33"/>
      <x:c r="J193" s="33"/>
      <x:c r="K193" s="33"/>
    </x:row>
    <x:row r="194" ht="14.25" customHeight="1">
      <x:c r="A194" s="33"/>
      <x:c r="B194" s="33"/>
      <x:c r="C194" s="33"/>
      <x:c r="D194" s="33"/>
      <x:c r="E194" s="33"/>
      <x:c r="F194" s="34"/>
      <x:c r="G194" s="33"/>
      <x:c r="H194" s="33"/>
      <x:c r="I194" s="33"/>
      <x:c r="J194" s="33"/>
      <x:c r="K194" s="33"/>
    </x:row>
    <x:row r="195" ht="14.25" customHeight="1">
      <x:c r="A195" s="33"/>
      <x:c r="B195" s="33"/>
      <x:c r="C195" s="33"/>
      <x:c r="D195" s="33"/>
      <x:c r="E195" s="33"/>
      <x:c r="F195" s="34"/>
      <x:c r="G195" s="33"/>
      <x:c r="H195" s="33"/>
      <x:c r="I195" s="33"/>
      <x:c r="J195" s="33"/>
      <x:c r="K195" s="33"/>
    </x:row>
    <x:row r="196" ht="14.25" customHeight="1">
      <x:c r="A196" s="33"/>
      <x:c r="B196" s="33"/>
      <x:c r="C196" s="33"/>
      <x:c r="D196" s="33"/>
      <x:c r="E196" s="33"/>
      <x:c r="F196" s="34"/>
      <x:c r="G196" s="33"/>
      <x:c r="H196" s="33"/>
      <x:c r="I196" s="33"/>
      <x:c r="J196" s="33"/>
      <x:c r="K196" s="33"/>
    </x:row>
    <x:row r="197" ht="14.25" customHeight="1">
      <x:c r="A197" s="33"/>
      <x:c r="B197" s="33"/>
      <x:c r="C197" s="33"/>
      <x:c r="D197" s="33"/>
      <x:c r="E197" s="33"/>
      <x:c r="F197" s="34"/>
      <x:c r="G197" s="33"/>
      <x:c r="H197" s="33"/>
      <x:c r="I197" s="33"/>
      <x:c r="J197" s="33"/>
      <x:c r="K197" s="33"/>
    </x:row>
    <x:row r="198" ht="14.25" customHeight="1">
      <x:c r="A198" s="33"/>
      <x:c r="B198" s="33"/>
      <x:c r="C198" s="33"/>
      <x:c r="D198" s="33"/>
      <x:c r="E198" s="33"/>
      <x:c r="F198" s="34"/>
      <x:c r="G198" s="33"/>
      <x:c r="H198" s="33"/>
      <x:c r="I198" s="33"/>
      <x:c r="J198" s="33"/>
      <x:c r="K198" s="33"/>
    </x:row>
    <x:row r="199" ht="14.25" customHeight="1">
      <x:c r="A199" s="33"/>
      <x:c r="B199" s="33"/>
      <x:c r="C199" s="33"/>
      <x:c r="D199" s="33"/>
      <x:c r="E199" s="33"/>
      <x:c r="F199" s="34"/>
      <x:c r="G199" s="33"/>
      <x:c r="H199" s="33"/>
      <x:c r="I199" s="33"/>
      <x:c r="J199" s="33"/>
      <x:c r="K199" s="33"/>
    </x:row>
    <x:row r="200" ht="14.25" customHeight="1">
      <x:c r="A200" s="33"/>
      <x:c r="B200" s="33"/>
      <x:c r="C200" s="33"/>
      <x:c r="D200" s="33"/>
      <x:c r="E200" s="33"/>
      <x:c r="F200" s="34"/>
      <x:c r="G200" s="33"/>
      <x:c r="H200" s="33"/>
      <x:c r="I200" s="33"/>
      <x:c r="J200" s="33"/>
      <x:c r="K200" s="33"/>
    </x:row>
    <x:row r="201" ht="14.25" customHeight="1">
      <x:c r="A201" s="33"/>
      <x:c r="B201" s="33"/>
      <x:c r="C201" s="33"/>
      <x:c r="D201" s="33"/>
      <x:c r="E201" s="33"/>
      <x:c r="F201" s="34"/>
      <x:c r="G201" s="33"/>
      <x:c r="H201" s="33"/>
      <x:c r="I201" s="33"/>
      <x:c r="J201" s="33"/>
      <x:c r="K201" s="33"/>
    </x:row>
    <x:row r="202" ht="14.25" customHeight="1">
      <x:c r="A202" s="33"/>
      <x:c r="B202" s="33"/>
      <x:c r="C202" s="33"/>
      <x:c r="D202" s="33"/>
      <x:c r="E202" s="33"/>
      <x:c r="F202" s="34"/>
      <x:c r="G202" s="33"/>
      <x:c r="H202" s="33"/>
      <x:c r="I202" s="33"/>
      <x:c r="J202" s="33"/>
      <x:c r="K202" s="33"/>
    </x:row>
    <x:row r="203" ht="14.25" customHeight="1">
      <x:c r="A203" s="33"/>
      <x:c r="B203" s="33"/>
      <x:c r="C203" s="33"/>
      <x:c r="D203" s="33"/>
      <x:c r="E203" s="33"/>
      <x:c r="F203" s="34"/>
      <x:c r="G203" s="33"/>
      <x:c r="H203" s="33"/>
      <x:c r="I203" s="33"/>
      <x:c r="J203" s="33"/>
      <x:c r="K203" s="33"/>
    </x:row>
    <x:row r="204" ht="14.25" customHeight="1">
      <x:c r="A204" s="33"/>
      <x:c r="B204" s="33"/>
      <x:c r="C204" s="33"/>
      <x:c r="D204" s="33"/>
      <x:c r="E204" s="33"/>
      <x:c r="F204" s="34"/>
      <x:c r="G204" s="33"/>
      <x:c r="H204" s="33"/>
      <x:c r="I204" s="33"/>
      <x:c r="J204" s="33"/>
      <x:c r="K204" s="33"/>
    </x:row>
    <x:row r="205" ht="14.25" customHeight="1">
      <x:c r="A205" s="33"/>
      <x:c r="B205" s="33"/>
      <x:c r="C205" s="33"/>
      <x:c r="D205" s="33"/>
      <x:c r="E205" s="33"/>
      <x:c r="F205" s="34"/>
      <x:c r="G205" s="33"/>
      <x:c r="H205" s="33"/>
      <x:c r="I205" s="33"/>
      <x:c r="J205" s="33"/>
      <x:c r="K205" s="33"/>
    </x:row>
    <x:row r="206" ht="14.25" customHeight="1">
      <x:c r="A206" s="33"/>
      <x:c r="B206" s="33"/>
      <x:c r="C206" s="33"/>
      <x:c r="D206" s="33"/>
      <x:c r="E206" s="33"/>
      <x:c r="F206" s="34"/>
      <x:c r="G206" s="33"/>
      <x:c r="H206" s="33"/>
      <x:c r="I206" s="33"/>
      <x:c r="J206" s="33"/>
      <x:c r="K206" s="33"/>
    </x:row>
    <x:row r="207" ht="14.25" customHeight="1">
      <x:c r="A207" s="33"/>
      <x:c r="B207" s="33"/>
      <x:c r="C207" s="33"/>
      <x:c r="D207" s="33"/>
      <x:c r="E207" s="33"/>
      <x:c r="F207" s="34"/>
      <x:c r="G207" s="33"/>
      <x:c r="H207" s="33"/>
      <x:c r="I207" s="33"/>
      <x:c r="J207" s="33"/>
      <x:c r="K207" s="33"/>
    </x:row>
    <x:row r="208" ht="14.25" customHeight="1">
      <x:c r="A208" s="33"/>
      <x:c r="B208" s="33"/>
      <x:c r="C208" s="33"/>
      <x:c r="D208" s="33"/>
      <x:c r="E208" s="33"/>
      <x:c r="F208" s="34"/>
      <x:c r="G208" s="33"/>
      <x:c r="H208" s="33"/>
      <x:c r="I208" s="33"/>
      <x:c r="J208" s="33"/>
      <x:c r="K208" s="33"/>
    </x:row>
    <x:row r="209" ht="14.25" customHeight="1">
      <x:c r="A209" s="33"/>
      <x:c r="B209" s="33"/>
      <x:c r="C209" s="33"/>
      <x:c r="D209" s="33"/>
      <x:c r="E209" s="33"/>
      <x:c r="F209" s="34"/>
      <x:c r="G209" s="33"/>
      <x:c r="H209" s="33"/>
      <x:c r="I209" s="33"/>
      <x:c r="J209" s="33"/>
      <x:c r="K209" s="33"/>
    </x:row>
    <x:row r="210" ht="14.25" customHeight="1">
      <x:c r="A210" s="33"/>
      <x:c r="B210" s="33"/>
      <x:c r="C210" s="33"/>
      <x:c r="D210" s="33"/>
      <x:c r="E210" s="33"/>
      <x:c r="F210" s="34"/>
      <x:c r="G210" s="33"/>
      <x:c r="H210" s="33"/>
      <x:c r="I210" s="33"/>
      <x:c r="J210" s="33"/>
      <x:c r="K210" s="33"/>
    </x:row>
    <x:row r="211" ht="14.25" customHeight="1">
      <x:c r="A211" s="33"/>
      <x:c r="B211" s="33"/>
      <x:c r="C211" s="33"/>
      <x:c r="D211" s="33"/>
      <x:c r="E211" s="33"/>
      <x:c r="F211" s="34"/>
      <x:c r="G211" s="33"/>
      <x:c r="H211" s="33"/>
      <x:c r="I211" s="33"/>
      <x:c r="J211" s="33"/>
      <x:c r="K211" s="33"/>
    </x:row>
    <x:row r="212" ht="14.25" customHeight="1">
      <x:c r="A212" s="33"/>
      <x:c r="B212" s="33"/>
      <x:c r="C212" s="33"/>
      <x:c r="D212" s="33"/>
      <x:c r="E212" s="33"/>
      <x:c r="F212" s="34"/>
      <x:c r="G212" s="33"/>
      <x:c r="H212" s="33"/>
      <x:c r="I212" s="33"/>
      <x:c r="J212" s="33"/>
      <x:c r="K212" s="33"/>
    </x:row>
    <x:row r="213" ht="14.25" customHeight="1">
      <x:c r="A213" s="33"/>
      <x:c r="B213" s="33"/>
      <x:c r="C213" s="33"/>
      <x:c r="D213" s="33"/>
      <x:c r="E213" s="33"/>
      <x:c r="F213" s="34"/>
      <x:c r="G213" s="33"/>
      <x:c r="H213" s="33"/>
      <x:c r="I213" s="33"/>
      <x:c r="J213" s="33"/>
      <x:c r="K213" s="33"/>
    </x:row>
    <x:row r="214" ht="14.25" customHeight="1">
      <x:c r="A214" s="33"/>
      <x:c r="B214" s="33"/>
      <x:c r="C214" s="33"/>
      <x:c r="D214" s="33"/>
      <x:c r="E214" s="33"/>
      <x:c r="F214" s="34"/>
      <x:c r="G214" s="33"/>
      <x:c r="H214" s="33"/>
      <x:c r="I214" s="33"/>
      <x:c r="J214" s="33"/>
      <x:c r="K214" s="33"/>
    </x:row>
    <x:row r="215" ht="14.25" customHeight="1">
      <x:c r="A215" s="33"/>
      <x:c r="B215" s="33"/>
      <x:c r="C215" s="33"/>
      <x:c r="D215" s="33"/>
      <x:c r="E215" s="33"/>
      <x:c r="F215" s="34"/>
      <x:c r="G215" s="33"/>
      <x:c r="H215" s="33"/>
      <x:c r="I215" s="33"/>
      <x:c r="J215" s="33"/>
      <x:c r="K215" s="33"/>
    </x:row>
    <x:row r="216" ht="14.25" customHeight="1">
      <x:c r="A216" s="33"/>
      <x:c r="B216" s="33"/>
      <x:c r="C216" s="33"/>
      <x:c r="D216" s="33"/>
      <x:c r="E216" s="33"/>
      <x:c r="F216" s="34"/>
      <x:c r="G216" s="33"/>
      <x:c r="H216" s="33"/>
      <x:c r="I216" s="33"/>
      <x:c r="J216" s="33"/>
      <x:c r="K216" s="33"/>
    </x:row>
    <x:row r="217" ht="14.25" customHeight="1">
      <x:c r="A217" s="33"/>
      <x:c r="B217" s="33"/>
      <x:c r="C217" s="33"/>
      <x:c r="D217" s="33"/>
      <x:c r="E217" s="33"/>
      <x:c r="F217" s="34"/>
      <x:c r="G217" s="33"/>
      <x:c r="H217" s="33"/>
      <x:c r="I217" s="33"/>
      <x:c r="J217" s="33"/>
      <x:c r="K217" s="33"/>
    </x:row>
    <x:row r="218" ht="14.25" customHeight="1">
      <x:c r="A218" s="33"/>
      <x:c r="B218" s="33"/>
      <x:c r="C218" s="33"/>
      <x:c r="D218" s="33"/>
      <x:c r="E218" s="33"/>
      <x:c r="F218" s="34"/>
      <x:c r="G218" s="33"/>
      <x:c r="H218" s="33"/>
      <x:c r="I218" s="33"/>
      <x:c r="J218" s="33"/>
      <x:c r="K218" s="33"/>
    </x:row>
    <x:row r="219" ht="14.25" customHeight="1">
      <x:c r="A219" s="33"/>
      <x:c r="B219" s="33"/>
      <x:c r="C219" s="33"/>
      <x:c r="D219" s="33"/>
      <x:c r="E219" s="33"/>
      <x:c r="F219" s="34"/>
      <x:c r="G219" s="33"/>
      <x:c r="H219" s="33"/>
      <x:c r="I219" s="33"/>
      <x:c r="J219" s="33"/>
      <x:c r="K219" s="33"/>
    </x:row>
    <x:row r="220" ht="14.25" customHeight="1">
      <x:c r="A220" s="33"/>
      <x:c r="B220" s="33"/>
      <x:c r="C220" s="33"/>
      <x:c r="D220" s="33"/>
      <x:c r="E220" s="33"/>
      <x:c r="F220" s="34"/>
      <x:c r="G220" s="33"/>
      <x:c r="H220" s="33"/>
      <x:c r="I220" s="33"/>
      <x:c r="J220" s="33"/>
      <x:c r="K220" s="33"/>
    </x:row>
    <x:row r="221" ht="14.25" customHeight="1">
      <x:c r="A221" s="33"/>
      <x:c r="B221" s="33"/>
      <x:c r="C221" s="33"/>
      <x:c r="D221" s="33"/>
      <x:c r="E221" s="33"/>
      <x:c r="F221" s="34"/>
      <x:c r="G221" s="33"/>
      <x:c r="H221" s="33"/>
      <x:c r="I221" s="33"/>
      <x:c r="J221" s="33"/>
      <x:c r="K221" s="33"/>
    </x:row>
    <x:row r="222" ht="14.25" customHeight="1">
      <x:c r="A222" s="33"/>
      <x:c r="B222" s="33"/>
      <x:c r="C222" s="33"/>
      <x:c r="D222" s="33"/>
      <x:c r="E222" s="33"/>
      <x:c r="F222" s="34"/>
      <x:c r="G222" s="33"/>
      <x:c r="H222" s="33"/>
      <x:c r="I222" s="33"/>
      <x:c r="J222" s="33"/>
      <x:c r="K222" s="33"/>
    </x:row>
    <x:row r="223" ht="14.25" customHeight="1">
      <x:c r="A223" s="33"/>
      <x:c r="B223" s="33"/>
      <x:c r="C223" s="33"/>
      <x:c r="D223" s="33"/>
      <x:c r="E223" s="33"/>
      <x:c r="F223" s="34"/>
      <x:c r="G223" s="33"/>
      <x:c r="H223" s="33"/>
      <x:c r="I223" s="33"/>
      <x:c r="J223" s="33"/>
      <x:c r="K223" s="33"/>
    </x:row>
    <x:row r="224" ht="14.25" customHeight="1">
      <x:c r="A224" s="33"/>
      <x:c r="B224" s="33"/>
      <x:c r="C224" s="33"/>
      <x:c r="D224" s="33"/>
      <x:c r="E224" s="33"/>
      <x:c r="F224" s="34"/>
      <x:c r="G224" s="33"/>
      <x:c r="H224" s="33"/>
      <x:c r="I224" s="33"/>
      <x:c r="J224" s="33"/>
      <x:c r="K224" s="33"/>
    </x:row>
    <x:row r="225" ht="14.25" customHeight="1">
      <x:c r="A225" s="33"/>
      <x:c r="B225" s="33"/>
      <x:c r="C225" s="33"/>
      <x:c r="D225" s="33"/>
      <x:c r="E225" s="33"/>
      <x:c r="F225" s="34"/>
      <x:c r="G225" s="33"/>
      <x:c r="H225" s="33"/>
      <x:c r="I225" s="33"/>
      <x:c r="J225" s="33"/>
      <x:c r="K225" s="33"/>
    </x:row>
    <x:row r="226" ht="14.25" customHeight="1">
      <x:c r="A226" s="33"/>
      <x:c r="B226" s="33"/>
      <x:c r="C226" s="33"/>
      <x:c r="D226" s="33"/>
      <x:c r="E226" s="33"/>
      <x:c r="F226" s="34"/>
      <x:c r="G226" s="33"/>
      <x:c r="H226" s="33"/>
      <x:c r="I226" s="33"/>
      <x:c r="J226" s="33"/>
      <x:c r="K226" s="33"/>
    </x:row>
    <x:row r="227" ht="14.25" customHeight="1">
      <x:c r="A227" s="33"/>
      <x:c r="B227" s="33"/>
      <x:c r="C227" s="33"/>
      <x:c r="D227" s="33"/>
      <x:c r="E227" s="33"/>
      <x:c r="F227" s="34"/>
      <x:c r="G227" s="33"/>
      <x:c r="H227" s="33"/>
      <x:c r="I227" s="33"/>
      <x:c r="J227" s="33"/>
      <x:c r="K227" s="33"/>
    </x:row>
    <x:row r="228" ht="14.25" customHeight="1">
      <x:c r="A228" s="33"/>
      <x:c r="B228" s="33"/>
      <x:c r="C228" s="33"/>
      <x:c r="D228" s="33"/>
      <x:c r="E228" s="33"/>
      <x:c r="F228" s="34"/>
      <x:c r="G228" s="33"/>
      <x:c r="H228" s="33"/>
      <x:c r="I228" s="33"/>
      <x:c r="J228" s="33"/>
      <x:c r="K228" s="33"/>
    </x:row>
    <x:row r="229" ht="14.25" customHeight="1">
      <x:c r="A229" s="33"/>
      <x:c r="B229" s="33"/>
      <x:c r="C229" s="33"/>
      <x:c r="D229" s="33"/>
      <x:c r="E229" s="33"/>
      <x:c r="F229" s="34"/>
      <x:c r="G229" s="33"/>
      <x:c r="H229" s="33"/>
      <x:c r="I229" s="33"/>
      <x:c r="J229" s="33"/>
      <x:c r="K229" s="33"/>
    </x:row>
    <x:row r="230" ht="14.25" customHeight="1">
      <x:c r="A230" s="33"/>
      <x:c r="B230" s="33"/>
      <x:c r="C230" s="33"/>
      <x:c r="D230" s="33"/>
      <x:c r="E230" s="33"/>
      <x:c r="F230" s="34"/>
      <x:c r="G230" s="33"/>
      <x:c r="H230" s="33"/>
      <x:c r="I230" s="33"/>
      <x:c r="J230" s="33"/>
      <x:c r="K230" s="33"/>
    </x:row>
    <x:row r="231" ht="14.25" customHeight="1">
      <x:c r="A231" s="33"/>
      <x:c r="B231" s="33"/>
      <x:c r="C231" s="33"/>
      <x:c r="D231" s="33"/>
      <x:c r="E231" s="33"/>
      <x:c r="F231" s="34"/>
      <x:c r="G231" s="33"/>
      <x:c r="H231" s="33"/>
      <x:c r="I231" s="33"/>
      <x:c r="J231" s="33"/>
      <x:c r="K231" s="33"/>
    </x:row>
    <x:row r="232" ht="14.25" customHeight="1">
      <x:c r="A232" s="33"/>
      <x:c r="B232" s="33"/>
      <x:c r="C232" s="33"/>
      <x:c r="D232" s="33"/>
      <x:c r="E232" s="33"/>
      <x:c r="F232" s="34"/>
      <x:c r="G232" s="33"/>
      <x:c r="H232" s="33"/>
      <x:c r="I232" s="33"/>
      <x:c r="J232" s="33"/>
      <x:c r="K232" s="33"/>
    </x:row>
    <x:row r="233" ht="14.25" customHeight="1">
      <x:c r="A233" s="33"/>
      <x:c r="B233" s="33"/>
      <x:c r="C233" s="33"/>
      <x:c r="D233" s="33"/>
      <x:c r="E233" s="33"/>
      <x:c r="F233" s="34"/>
      <x:c r="G233" s="33"/>
      <x:c r="H233" s="33"/>
      <x:c r="I233" s="33"/>
      <x:c r="J233" s="33"/>
      <x:c r="K233" s="33"/>
    </x:row>
    <x:row r="234" ht="14.25" customHeight="1">
      <x:c r="A234" s="33"/>
      <x:c r="B234" s="33"/>
      <x:c r="C234" s="33"/>
      <x:c r="D234" s="33"/>
      <x:c r="E234" s="33"/>
      <x:c r="F234" s="34"/>
      <x:c r="G234" s="33"/>
      <x:c r="H234" s="33"/>
      <x:c r="I234" s="33"/>
      <x:c r="J234" s="33"/>
      <x:c r="K234" s="33"/>
    </x:row>
    <x:row r="235" ht="14.25" customHeight="1">
      <x:c r="A235" s="33"/>
      <x:c r="B235" s="33"/>
      <x:c r="C235" s="33"/>
      <x:c r="D235" s="33"/>
      <x:c r="E235" s="33"/>
      <x:c r="F235" s="34"/>
      <x:c r="G235" s="33"/>
      <x:c r="H235" s="33"/>
      <x:c r="I235" s="33"/>
      <x:c r="J235" s="33"/>
      <x:c r="K235" s="33"/>
    </x:row>
    <x:row r="236" ht="14.25" customHeight="1">
      <x:c r="A236" s="33"/>
      <x:c r="B236" s="33"/>
      <x:c r="C236" s="33"/>
      <x:c r="D236" s="33"/>
      <x:c r="E236" s="33"/>
      <x:c r="F236" s="34"/>
      <x:c r="G236" s="33"/>
      <x:c r="H236" s="33"/>
      <x:c r="I236" s="33"/>
      <x:c r="J236" s="33"/>
      <x:c r="K236" s="33"/>
    </x:row>
    <x:row r="237" ht="14.25" customHeight="1">
      <x:c r="A237" s="33"/>
      <x:c r="B237" s="33"/>
      <x:c r="C237" s="33"/>
      <x:c r="D237" s="33"/>
      <x:c r="E237" s="33"/>
      <x:c r="F237" s="34"/>
      <x:c r="G237" s="33"/>
      <x:c r="H237" s="33"/>
      <x:c r="I237" s="33"/>
      <x:c r="J237" s="33"/>
      <x:c r="K237" s="33"/>
    </x:row>
    <x:row r="238" ht="14.25" customHeight="1">
      <x:c r="A238" s="33"/>
      <x:c r="B238" s="33"/>
      <x:c r="C238" s="33"/>
      <x:c r="D238" s="33"/>
      <x:c r="E238" s="33"/>
      <x:c r="F238" s="34"/>
      <x:c r="G238" s="33"/>
      <x:c r="H238" s="33"/>
      <x:c r="I238" s="33"/>
      <x:c r="J238" s="33"/>
      <x:c r="K238" s="33"/>
    </x:row>
    <x:row r="239" ht="14.25" customHeight="1">
      <x:c r="A239" s="33"/>
      <x:c r="B239" s="33"/>
      <x:c r="C239" s="33"/>
      <x:c r="D239" s="33"/>
      <x:c r="E239" s="33"/>
      <x:c r="F239" s="34"/>
      <x:c r="G239" s="33"/>
      <x:c r="H239" s="33"/>
      <x:c r="I239" s="33"/>
      <x:c r="J239" s="33"/>
      <x:c r="K239" s="33"/>
    </x:row>
    <x:row r="240" ht="14.25" customHeight="1">
      <x:c r="A240" s="33"/>
      <x:c r="B240" s="33"/>
      <x:c r="C240" s="33"/>
      <x:c r="D240" s="33"/>
      <x:c r="E240" s="33"/>
      <x:c r="F240" s="34"/>
      <x:c r="G240" s="33"/>
      <x:c r="H240" s="33"/>
      <x:c r="I240" s="33"/>
      <x:c r="J240" s="33"/>
      <x:c r="K240" s="33"/>
    </x:row>
    <x:row r="241" ht="14.25" customHeight="1">
      <x:c r="A241" s="33"/>
      <x:c r="B241" s="33"/>
      <x:c r="C241" s="33"/>
      <x:c r="D241" s="33"/>
      <x:c r="E241" s="33"/>
      <x:c r="F241" s="34"/>
      <x:c r="G241" s="33"/>
      <x:c r="H241" s="33"/>
      <x:c r="I241" s="33"/>
      <x:c r="J241" s="33"/>
      <x:c r="K241" s="33"/>
    </x:row>
    <x:row r="242" ht="14.25" customHeight="1">
      <x:c r="A242" s="33"/>
      <x:c r="B242" s="33"/>
      <x:c r="C242" s="33"/>
      <x:c r="D242" s="33"/>
      <x:c r="E242" s="33"/>
      <x:c r="F242" s="34"/>
      <x:c r="G242" s="33"/>
      <x:c r="H242" s="33"/>
      <x:c r="I242" s="33"/>
      <x:c r="J242" s="33"/>
      <x:c r="K242" s="33"/>
    </x:row>
    <x:row r="243" ht="14.25" customHeight="1">
      <x:c r="A243" s="33"/>
      <x:c r="B243" s="33"/>
      <x:c r="C243" s="33"/>
      <x:c r="D243" s="33"/>
      <x:c r="E243" s="33"/>
      <x:c r="F243" s="34"/>
      <x:c r="G243" s="33"/>
      <x:c r="H243" s="33"/>
      <x:c r="I243" s="33"/>
      <x:c r="J243" s="33"/>
      <x:c r="K243" s="33"/>
    </x:row>
    <x:row r="244" ht="14.25" customHeight="1">
      <x:c r="A244" s="33"/>
      <x:c r="B244" s="33"/>
      <x:c r="C244" s="33"/>
      <x:c r="D244" s="33"/>
      <x:c r="E244" s="33"/>
      <x:c r="F244" s="34"/>
      <x:c r="G244" s="33"/>
      <x:c r="H244" s="33"/>
      <x:c r="I244" s="33"/>
      <x:c r="J244" s="33"/>
      <x:c r="K244" s="33"/>
    </x:row>
    <x:row r="245" ht="14.25" customHeight="1">
      <x:c r="A245" s="33"/>
      <x:c r="B245" s="33"/>
      <x:c r="C245" s="33"/>
      <x:c r="D245" s="33"/>
      <x:c r="E245" s="33"/>
      <x:c r="F245" s="34"/>
      <x:c r="G245" s="33"/>
      <x:c r="H245" s="33"/>
      <x:c r="I245" s="33"/>
      <x:c r="J245" s="33"/>
      <x:c r="K245" s="33"/>
    </x:row>
    <x:row r="246" ht="14.25" customHeight="1">
      <x:c r="A246" s="33"/>
      <x:c r="B246" s="33"/>
      <x:c r="C246" s="33"/>
      <x:c r="D246" s="33"/>
      <x:c r="E246" s="33"/>
      <x:c r="F246" s="34"/>
      <x:c r="G246" s="33"/>
      <x:c r="H246" s="33"/>
      <x:c r="I246" s="33"/>
      <x:c r="J246" s="33"/>
      <x:c r="K246" s="33"/>
    </x:row>
    <x:row r="247" ht="14.25" customHeight="1">
      <x:c r="A247" s="33"/>
      <x:c r="B247" s="33"/>
      <x:c r="C247" s="33"/>
      <x:c r="D247" s="33"/>
      <x:c r="E247" s="33"/>
      <x:c r="F247" s="34"/>
      <x:c r="G247" s="33"/>
      <x:c r="H247" s="33"/>
      <x:c r="I247" s="33"/>
      <x:c r="J247" s="33"/>
      <x:c r="K247" s="33"/>
    </x:row>
    <x:row r="248" ht="14.25" customHeight="1">
      <x:c r="A248" s="33"/>
      <x:c r="B248" s="33"/>
      <x:c r="C248" s="33"/>
      <x:c r="D248" s="33"/>
      <x:c r="E248" s="33"/>
      <x:c r="F248" s="34"/>
      <x:c r="G248" s="33"/>
      <x:c r="H248" s="33"/>
      <x:c r="I248" s="33"/>
      <x:c r="J248" s="33"/>
      <x:c r="K248" s="33"/>
    </x:row>
    <x:row r="249" ht="14.25" customHeight="1">
      <x:c r="A249" s="33"/>
      <x:c r="B249" s="33"/>
      <x:c r="C249" s="33"/>
      <x:c r="D249" s="33"/>
      <x:c r="E249" s="33"/>
      <x:c r="F249" s="34"/>
      <x:c r="G249" s="33"/>
      <x:c r="H249" s="33"/>
      <x:c r="I249" s="33"/>
      <x:c r="J249" s="33"/>
      <x:c r="K249" s="33"/>
    </x:row>
    <x:row r="250" ht="14.25" customHeight="1">
      <x:c r="A250" s="33"/>
      <x:c r="B250" s="33"/>
      <x:c r="C250" s="33"/>
      <x:c r="D250" s="33"/>
      <x:c r="E250" s="33"/>
      <x:c r="F250" s="34"/>
      <x:c r="G250" s="33"/>
      <x:c r="H250" s="33"/>
      <x:c r="I250" s="33"/>
      <x:c r="J250" s="33"/>
      <x:c r="K250" s="33"/>
    </x:row>
    <x:row r="251" ht="14.25" customHeight="1">
      <x:c r="A251" s="33"/>
      <x:c r="B251" s="33"/>
      <x:c r="C251" s="33"/>
      <x:c r="D251" s="33"/>
      <x:c r="E251" s="33"/>
      <x:c r="F251" s="34"/>
      <x:c r="G251" s="33"/>
      <x:c r="H251" s="33"/>
      <x:c r="I251" s="33"/>
      <x:c r="J251" s="33"/>
      <x:c r="K251" s="33"/>
    </x:row>
    <x:row r="252" ht="14.25" customHeight="1">
      <x:c r="A252" s="13"/>
      <x:c r="B252" s="13"/>
      <x:c r="C252" s="15"/>
      <x:c r="D252" s="15"/>
      <x:c r="E252" s="16"/>
      <x:c r="F252" s="42"/>
      <x:c r="G252" s="20"/>
    </x:row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69:E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9765625" defaultRowHeight="15"/>
  <x:cols>
    <x:col min="1" max="1" width="10.19921875" customWidth="1"/>
    <x:col min="2" max="2" width="23.09765625" customWidth="1"/>
    <x:col min="3" max="3" width="25" customWidth="1"/>
    <x:col min="4" max="4" width="17" customWidth="1"/>
    <x:col min="5" max="5" width="16.8984375" customWidth="1"/>
    <x:col min="6" max="6" width="17.19921875" customWidth="1"/>
    <x:col min="7" max="7" width="11.09765625" customWidth="1"/>
    <x:col min="8" max="8" width="73.69921875" customWidth="1"/>
    <x:col min="9" max="11" width="8.69921875" customWidth="1"/>
    <x:col min="12" max="26" width="14.3984375" customWidth="1"/>
    <x:col min="9" max="9" width="12" hidden="0" customWidth="1"/>
    <x:col min="10" max="10" width="20" hidden="0" customWidth="1"/>
    <x:col min="11" max="11" width="38" hidden="0" customWidth="1"/>
    <x:col min="12" max="12" width="42" hidden="0" customWidth="1"/>
  </x:cols>
  <x:sheetData>
    <x:row r="1" ht="14.25" customHeight="1">
      <x:c r="A1" s="56" t="s">
        <x:v>74</x:v>
      </x:c>
      <x:c r="B1" s="54"/>
      <x:c r="C1" s="54"/>
      <x:c r="D1" s="54"/>
      <x:c r="E1" s="54"/>
      <x:c r="F1" s="54"/>
      <x:c r="G1" s="55"/>
      <x:c r="H1" s="1" t="s">
        <x:v>75</x:v>
      </x:c>
    </x:row>
    <x:row r="2" ht="14.25" customHeight="1">
      <x:c r="A2" s="3" t="s">
        <x:v>2</x:v>
      </x:c>
      <x:c r="B2" s="5" t="s">
        <x:v>3</x:v>
      </x:c>
      <x:c r="C2" s="6" t="s">
        <x:v>4</x:v>
      </x:c>
      <x:c r="D2" s="5" t="s">
        <x:v>5</x:v>
      </x:c>
      <x:c r="E2" s="6" t="s">
        <x:v>6</x:v>
      </x:c>
      <x:c r="F2" s="9" t="s">
        <x:v>7</x:v>
      </x:c>
      <x:c r="G2" s="11" t="s">
        <x:v>8</x:v>
      </x:c>
      <x:c r="H2" s="12" t="s">
        <x:v>9</x:v>
      </x:c>
      <x:c r="I2" s="115" t="str">
        <x:v>Discount %</x:v>
      </x:c>
      <x:c r="J2" s="115" t="str">
        <x:v>Original Price Type</x:v>
      </x:c>
      <x:c r="K2" s="115" t="str">
        <x:v>Reference Source</x:v>
      </x:c>
      <x:c r="L2" s="115" t="str">
        <x:v>Price Review Note</x:v>
      </x:c>
    </x:row>
    <x:row r="3" ht="14.25" customHeight="1">
      <x:c r="A3" s="13" t="s">
        <x:v>76</x:v>
      </x:c>
      <x:c r="B3" s="15" t="str">
        <x:v>Зимно яке с пух</x:v>
      </x:c>
      <x:c r="C3" s="16" t="s">
        <x:v>77</x:v>
      </x:c>
      <x:c r="D3" s="15" t="s">
        <x:v>78</x:v>
      </x:c>
      <x:c r="E3" s="132" t="n">
        <x:v>63.59</x:v>
      </x:c>
      <x:c r="F3" s="133">
        <x:v>24.99</x:v>
      </x:c>
      <x:c r="G3" s="20"/>
      <x:c r="H3" s="22" t="s">
        <x:v>79</x:v>
      </x:c>
      <x:c r="I3" s="120" t="n">
        <x:f>IF(OR(E3="",F3="",F3&gt;=E3),"",(E3-F3)/E3)</x:f>
        <x:v>0.6070136813964461</x:v>
      </x:c>
      <x:c r="J3" t="str">
        <x:v>REFERENCE / DEMO</x:v>
      </x:c>
      <x:c r="K3" s="130" t="str">
        <x:v>https://bg.sportsdirect.com/minoti</x:v>
      </x:c>
      <x:c r="L3" s="130" t="str">
        <x:v>Current Minoti winter-jacket regular price example; comparable retail reference, not an exact SKU match.</x:v>
      </x:c>
    </x:row>
    <x:row r="4" ht="14.25" customHeight="1">
      <x:c r="A4" s="13" t="s">
        <x:v>76</x:v>
      </x:c>
      <x:c r="B4" s="17" t="str">
        <x:v>Клин</x:v>
      </x:c>
      <x:c r="C4" s="18" t="s">
        <x:v>10</x:v>
      </x:c>
      <x:c r="D4" s="17" t="s">
        <x:v>80</x:v>
      </x:c>
      <x:c r="E4" s="122" t="n">
        <x:v>14.9</x:v>
      </x:c>
      <x:c r="F4" s="134">
        <x:v>9.99</x:v>
      </x:c>
      <x:c r="G4" s="21"/>
      <x:c r="H4" s="22" t="s">
        <x:v>79</x:v>
      </x:c>
      <x:c r="I4" s="120" t="n">
        <x:f>IF(OR(E4="",F4="",F4&gt;=E4),"",(E4-F4)/E4)</x:f>
        <x:v>0.3295302013422819</x:v>
      </x:c>
      <x:c r="J4" t="str">
        <x:v>REFERENCE / DEMO</x:v>
      </x:c>
      <x:c r="K4" s="130" t="str">
        <x:v>https://minoti.com/collections/kids-clothing-2-8-years?page=7</x:v>
      </x:c>
      <x:c r="L4" s="130" t="str">
        <x:v>Comparable Minoti leggings regular-price range; comparable retail reference, not an exact SKU match.</x:v>
      </x:c>
    </x:row>
    <x:row r="5" ht="14.25" customHeight="1">
      <x:c r="A5" s="13" t="s">
        <x:v>76</x:v>
      </x:c>
      <x:c r="B5" s="17" t="str">
        <x:v>Къси дънки</x:v>
      </x:c>
      <x:c r="C5" s="24" t="s">
        <x:v>81</x:v>
      </x:c>
      <x:c r="D5" s="17" t="s">
        <x:v>82</x:v>
      </x:c>
      <x:c r="E5" s="122" t="n">
        <x:v>23.9</x:v>
      </x:c>
      <x:c r="F5" s="135">
        <x:v>13.99</x:v>
      </x:c>
      <x:c r="G5" s="21"/>
      <x:c r="H5" s="22" t="s">
        <x:v>83</x:v>
      </x:c>
      <x:c r="I5" s="120" t="n">
        <x:f>IF(OR(E5="",F5="",F5&gt;=E5),"",(E5-F5)/E5)</x:f>
        <x:v>0.4146443514644351</x:v>
      </x:c>
      <x:c r="J5" t="str">
        <x:v>REFERENCE / DEMO</x:v>
      </x:c>
      <x:c r="K5" s="130" t="str">
        <x:v>https://www.ozone.ro/brand-minoti/</x:v>
      </x:c>
      <x:c r="L5" s="130" t="str">
        <x:v>Ozone Minoti jeans SRP/category reference; comparable retail reference, not an exact SKU match.</x:v>
      </x:c>
    </x:row>
    <x:row r="6" ht="14.25" customHeight="1">
      <x:c r="A6" s="13" t="s">
        <x:v>76</x:v>
      </x:c>
      <x:c r="B6" s="17" t="str">
        <x:v>Клин</x:v>
      </x:c>
      <x:c r="C6" s="18" t="s">
        <x:v>84</x:v>
      </x:c>
      <x:c r="D6" s="17" t="s">
        <x:v>80</x:v>
      </x:c>
      <x:c r="E6" s="122" t="n">
        <x:v>14.9</x:v>
      </x:c>
      <x:c r="F6" s="123">
        <x:v>9.99</x:v>
      </x:c>
      <x:c r="G6" s="21"/>
      <x:c r="H6" s="22" t="s">
        <x:v>79</x:v>
      </x:c>
      <x:c r="I6" s="120" t="n">
        <x:f>IF(OR(E6="",F6="",F6&gt;=E6),"",(E6-F6)/E6)</x:f>
        <x:v>0.3295302013422819</x:v>
      </x:c>
      <x:c r="J6" t="str">
        <x:v>REFERENCE / DEMO</x:v>
      </x:c>
      <x:c r="K6" s="130" t="str">
        <x:v>https://minoti.com/collections/kids-clothing-2-8-years?page=7</x:v>
      </x:c>
      <x:c r="L6" s="130" t="str">
        <x:v>Comparable Minoti leggings regular-price range; comparable retail reference, not an exact SKU match.</x:v>
      </x:c>
    </x:row>
    <x:row r="7" ht="14.25" customHeight="1">
      <x:c r="A7" s="13" t="s">
        <x:v>76</x:v>
      </x:c>
      <x:c r="B7" s="17" t="str">
        <x:v>Блуза</x:v>
      </x:c>
      <x:c r="C7" s="18" t="s">
        <x:v>31</x:v>
      </x:c>
      <x:c r="D7" s="17" t="s">
        <x:v>85</x:v>
      </x:c>
      <x:c r="E7" s="122" t="n">
        <x:v>12.9</x:v>
      </x:c>
      <x:c r="F7" s="123">
        <x:v>9.99</x:v>
      </x:c>
      <x:c r="G7" s="21"/>
      <x:c r="H7" s="46" t="s">
        <x:v>79</x:v>
      </x:c>
      <x:c r="I7" s="120" t="n">
        <x:f>IF(OR(E7="",F7="",F7&gt;=E7),"",(E7-F7)/E7)</x:f>
        <x:v>0.22558139534883723</x:v>
      </x:c>
      <x:c r="J7" t="str">
        <x:v>REFERENCE / DEMO</x:v>
      </x:c>
      <x:c r="K7" s="130" t="str">
        <x:v>https://minoti.com/nl/collections/baby</x:v>
      </x:c>
      <x:c r="L7" s="130" t="str">
        <x:v>Current Minoti single T-shirt/top reference; comparable retail reference, not an exact SKU match.</x:v>
      </x:c>
    </x:row>
    <x:row r="8" ht="14.25" customHeight="1">
      <x:c r="A8" s="13" t="s">
        <x:v>76</x:v>
      </x:c>
      <x:c r="B8" s="17" t="str">
        <x:v>Блуза</x:v>
      </x:c>
      <x:c r="C8" s="18" t="s">
        <x:v>86</x:v>
      </x:c>
      <x:c r="D8" s="17" t="s">
        <x:v>87</x:v>
      </x:c>
      <x:c r="E8" s="122" t="n">
        <x:v>11.9</x:v>
      </x:c>
      <x:c r="F8" s="123">
        <x:v>6.99</x:v>
      </x:c>
      <x:c r="G8" s="21"/>
      <x:c r="H8" s="22" t="s">
        <x:v>79</x:v>
      </x:c>
      <x:c r="I8" s="120" t="n">
        <x:f>IF(OR(E8="",F8="",F8&gt;=E8),"",(E8-F8)/E8)</x:f>
        <x:v>0.4126050420168067</x:v>
      </x:c>
      <x:c r="J8" t="str">
        <x:v>REFERENCE / DEMO</x:v>
      </x:c>
      <x:c r="K8" s="130" t="str">
        <x:v>https://minoti.com/nl/collections/baby</x:v>
      </x:c>
      <x:c r="L8" s="130" t="str">
        <x:v>Current Minoti single T-shirt/top reference; comparable retail reference, not an exact SKU match.</x:v>
      </x:c>
    </x:row>
    <x:row r="9" ht="14.25" customHeight="1">
      <x:c r="A9" s="13" t="s">
        <x:v>76</x:v>
      </x:c>
      <x:c r="B9" s="17" t="str">
        <x:v>Поло тениска</x:v>
      </x:c>
      <x:c r="C9" s="18"/>
      <x:c r="D9" s="17" t="s">
        <x:v>88</x:v>
      </x:c>
      <x:c r="E9" s="122" t="n">
        <x:v>16.9</x:v>
      </x:c>
      <x:c r="F9" s="123">
        <x:v>11.99</x:v>
      </x:c>
      <x:c r="G9" s="21"/>
      <x:c r="H9" s="22" t="s">
        <x:v>83</x:v>
      </x:c>
      <x:c r="I9" s="120" t="n">
        <x:f>IF(OR(E9="",F9="",F9&gt;=E9),"",(E9-F9)/E9)</x:f>
        <x:v>0.29053254437869813</x:v>
      </x:c>
      <x:c r="J9" t="str">
        <x:v>REFERENCE / DEMO</x:v>
      </x:c>
      <x:c r="K9" s="130" t="str">
        <x:v>https://minoti.com/nl/collections/baby</x:v>
      </x:c>
      <x:c r="L9" s="130" t="str">
        <x:v>Current Minoti single T-shirt/top reference; comparable retail reference, not an exact SKU match.</x:v>
      </x:c>
    </x:row>
    <x:row r="10" ht="14.25" customHeight="1">
      <x:c r="A10" s="13" t="s">
        <x:v>76</x:v>
      </x:c>
      <x:c r="B10" s="17" t="str">
        <x:v>Комплект</x:v>
      </x:c>
      <x:c r="C10" s="18" t="s">
        <x:v>89</x:v>
      </x:c>
      <x:c r="D10" s="17" t="s">
        <x:v>80</x:v>
      </x:c>
      <x:c r="E10" s="122" t="n">
        <x:v>26.9</x:v>
      </x:c>
      <x:c r="F10" s="135">
        <x:v>14.99</x:v>
      </x:c>
      <x:c r="G10" s="21"/>
      <x:c r="H10" s="22" t="s">
        <x:v>83</x:v>
      </x:c>
      <x:c r="I10" s="120" t="n">
        <x:f>IF(OR(E10="",F10="",F10&gt;=E10),"",(E10-F10)/E10)</x:f>
        <x:v>0.4427509293680297</x:v>
      </x:c>
      <x:c r="J10" t="str">
        <x:v>REFERENCE / DEMO</x:v>
      </x:c>
      <x:c r="K10" s="130" t="str">
        <x:v>https://minoti.com/collections/baby</x:v>
      </x:c>
      <x:c r="L10" s="130" t="str">
        <x:v>Comparable Minoti matching set; comparable retail reference, not an exact SKU match.</x:v>
      </x:c>
    </x:row>
    <x:row r="11" ht="14.25" customHeight="1">
      <x:c r="A11" s="13" t="s">
        <x:v>76</x:v>
      </x:c>
      <x:c r="B11" s="17" t="str">
        <x:v>Блузка</x:v>
      </x:c>
      <x:c r="C11" s="18" t="s">
        <x:v>90</x:v>
      </x:c>
      <x:c r="D11" s="17" t="s">
        <x:v>91</x:v>
      </x:c>
      <x:c r="E11" s="122" t="n">
        <x:v>12.9</x:v>
      </x:c>
      <x:c r="F11" s="123">
        <x:v>9.99</x:v>
      </x:c>
      <x:c r="G11" s="21"/>
      <x:c r="H11" s="22" t="s">
        <x:v>92</x:v>
      </x:c>
      <x:c r="I11" s="120" t="n">
        <x:f>IF(OR(E11="",F11="",F11&gt;=E11),"",(E11-F11)/E11)</x:f>
        <x:v>0.22558139534883723</x:v>
      </x:c>
      <x:c r="J11" t="str">
        <x:v>REFERENCE / DEMO</x:v>
      </x:c>
      <x:c r="K11" s="130" t="str">
        <x:v>https://minoti.com/nl/collections/baby</x:v>
      </x:c>
      <x:c r="L11" s="130" t="str">
        <x:v>Current Minoti single T-shirt/top reference; comparable retail reference, not an exact SKU match.</x:v>
      </x:c>
    </x:row>
    <x:row r="12" ht="14.25" customHeight="1">
      <x:c r="A12" s="13" t="s">
        <x:v>76</x:v>
      </x:c>
      <x:c r="B12" s="17" t="str">
        <x:v>Дънкова риза с къс ръкав</x:v>
      </x:c>
      <x:c r="C12" s="18" t="s">
        <x:v>93</x:v>
      </x:c>
      <x:c r="D12" s="17" t="s">
        <x:v>88</x:v>
      </x:c>
      <x:c r="E12" s="122" t="n">
        <x:v>18.9</x:v>
      </x:c>
      <x:c r="F12" s="123">
        <x:v>9.99</x:v>
      </x:c>
      <x:c r="G12" s="21"/>
      <x:c r="H12" s="22" t="s">
        <x:v>83</x:v>
      </x:c>
      <x:c r="I12" s="120" t="n">
        <x:f>IF(OR(E12="",F12="",F12&gt;=E12),"",(E12-F12)/E12)</x:f>
        <x:v>0.47142857142857136</x:v>
      </x:c>
      <x:c r="J12" t="str">
        <x:v>REFERENCE / DEMO</x:v>
      </x:c>
      <x:c r="K12" s="130" t="str">
        <x:v>https://minoti.com/collections/baby?page=8</x:v>
      </x:c>
      <x:c r="L12" s="130" t="str">
        <x:v>Comparable Minoti denim shirt reference; comparable retail reference, not an exact SKU match.</x:v>
      </x:c>
    </x:row>
    <x:row r="13" ht="14.25" customHeight="1">
      <x:c r="A13" s="13" t="s">
        <x:v>76</x:v>
      </x:c>
      <x:c r="B13" s="17" t="str">
        <x:v>Яке</x:v>
      </x:c>
      <x:c r="C13" s="18" t="s">
        <x:v>94</x:v>
      </x:c>
      <x:c r="D13" s="17" t="s">
        <x:v>88</x:v>
      </x:c>
      <x:c r="E13" s="122" t="n">
        <x:v>33.9</x:v>
      </x:c>
      <x:c r="F13" s="123">
        <x:v>12.99</x:v>
      </x:c>
      <x:c r="G13" s="21"/>
      <x:c r="H13" s="22" t="s">
        <x:v>95</x:v>
      </x:c>
      <x:c r="I13" s="120" t="n">
        <x:f>IF(OR(E13="",F13="",F13&gt;=E13),"",(E13-F13)/E13)</x:f>
        <x:v>0.6168141592920353</x:v>
      </x:c>
      <x:c r="J13" t="str">
        <x:v>REFERENCE / DEMO</x:v>
      </x:c>
      <x:c r="K13" s="130" t="str">
        <x:v>https://minoti.com/nl/collections/baby</x:v>
      </x:c>
      <x:c r="L13" s="130" t="str">
        <x:v>Current Minoti light/softshell jacket regular price example; comparable retail reference, not an exact SKU match.</x:v>
      </x:c>
    </x:row>
    <x:row r="14" ht="14.25" customHeight="1">
      <x:c r="A14" s="13" t="s">
        <x:v>76</x:v>
      </x:c>
      <x:c r="B14" s="17" t="str">
        <x:v>Яке</x:v>
      </x:c>
      <x:c r="C14" s="18" t="s">
        <x:v>96</x:v>
      </x:c>
      <x:c r="D14" s="17" t="s">
        <x:v>88</x:v>
      </x:c>
      <x:c r="E14" s="122" t="n">
        <x:v>33.9</x:v>
      </x:c>
      <x:c r="F14" s="123">
        <x:v>14.99</x:v>
      </x:c>
      <x:c r="G14" s="21"/>
      <x:c r="H14" s="22" t="s">
        <x:v>95</x:v>
      </x:c>
      <x:c r="I14" s="120" t="n">
        <x:f>IF(OR(E14="",F14="",F14&gt;=E14),"",(E14-F14)/E14)</x:f>
        <x:v>0.5578171091445427</x:v>
      </x:c>
      <x:c r="J14" t="str">
        <x:v>REFERENCE / DEMO</x:v>
      </x:c>
      <x:c r="K14" s="130" t="str">
        <x:v>https://minoti.com/nl/collections/baby</x:v>
      </x:c>
      <x:c r="L14" s="130" t="str">
        <x:v>Current Minoti light/softshell jacket regular price example; comparable retail reference, not an exact SKU match.</x:v>
      </x:c>
    </x:row>
    <x:row r="15" ht="14.25" customHeight="1">
      <x:c r="A15" s="13" t="s">
        <x:v>76</x:v>
      </x:c>
      <x:c r="B15" s="17" t="str">
        <x:v>Яке</x:v>
      </x:c>
      <x:c r="C15" s="18" t="s">
        <x:v>97</x:v>
      </x:c>
      <x:c r="D15" s="17" t="s">
        <x:v>80</x:v>
      </x:c>
      <x:c r="E15" s="122" t="n">
        <x:v>33.9</x:v>
      </x:c>
      <x:c r="F15" s="123">
        <x:v>15.99</x:v>
      </x:c>
      <x:c r="G15" s="21"/>
      <x:c r="H15" s="22" t="s">
        <x:v>79</x:v>
      </x:c>
      <x:c r="I15" s="120" t="n">
        <x:f>IF(OR(E15="",F15="",F15&gt;=E15),"",(E15-F15)/E15)</x:f>
        <x:v>0.5283185840707963</x:v>
      </x:c>
      <x:c r="J15" t="str">
        <x:v>REFERENCE / DEMO</x:v>
      </x:c>
      <x:c r="K15" s="130" t="str">
        <x:v>https://minoti.com/nl/collections/baby</x:v>
      </x:c>
      <x:c r="L15" s="130" t="str">
        <x:v>Current Minoti light/softshell jacket regular price example; comparable retail reference, not an exact SKU match.</x:v>
      </x:c>
    </x:row>
    <x:row r="16" ht="14.25" customHeight="1">
      <x:c r="A16" s="13" t="s">
        <x:v>76</x:v>
      </x:c>
      <x:c r="B16" s="17" t="str">
        <x:v>Яке</x:v>
      </x:c>
      <x:c r="C16" s="18" t="s">
        <x:v>98</x:v>
      </x:c>
      <x:c r="D16" s="17" t="s">
        <x:v>99</x:v>
      </x:c>
      <x:c r="E16" s="122" t="n">
        <x:v>33.9</x:v>
      </x:c>
      <x:c r="F16" s="123">
        <x:v>15.99</x:v>
      </x:c>
      <x:c r="G16" s="21"/>
      <x:c r="H16" s="22" t="s">
        <x:v>100</x:v>
      </x:c>
      <x:c r="I16" s="120" t="n">
        <x:f>IF(OR(E16="",F16="",F16&gt;=E16),"",(E16-F16)/E16)</x:f>
        <x:v>0.5283185840707963</x:v>
      </x:c>
      <x:c r="J16" t="str">
        <x:v>REFERENCE / DEMO</x:v>
      </x:c>
      <x:c r="K16" s="130" t="str">
        <x:v>https://minoti.com/nl/collections/baby</x:v>
      </x:c>
      <x:c r="L16" s="130" t="str">
        <x:v>Current Minoti light/softshell jacket regular price example; comparable retail reference, not an exact SKU match.</x:v>
      </x:c>
    </x:row>
    <x:row r="17" ht="14.25" customHeight="1">
      <x:c r="A17" s="13" t="s">
        <x:v>76</x:v>
      </x:c>
      <x:c r="B17" s="17" t="str">
        <x:v>Яке</x:v>
      </x:c>
      <x:c r="C17" s="18" t="s">
        <x:v>101</x:v>
      </x:c>
      <x:c r="D17" s="17" t="s">
        <x:v>91</x:v>
      </x:c>
      <x:c r="E17" s="122" t="n">
        <x:v>33.9</x:v>
      </x:c>
      <x:c r="F17" s="123">
        <x:v>14.99</x:v>
      </x:c>
      <x:c r="G17" s="21"/>
      <x:c r="H17" s="22" t="s">
        <x:v>102</x:v>
      </x:c>
      <x:c r="I17" s="120" t="n">
        <x:f>IF(OR(E17="",F17="",F17&gt;=E17),"",(E17-F17)/E17)</x:f>
        <x:v>0.5578171091445427</x:v>
      </x:c>
      <x:c r="J17" t="str">
        <x:v>REFERENCE / DEMO</x:v>
      </x:c>
      <x:c r="K17" s="130" t="str">
        <x:v>https://minoti.com/nl/collections/baby</x:v>
      </x:c>
      <x:c r="L17" s="130" t="str">
        <x:v>Current Minoti light/softshell jacket regular price example; comparable retail reference, not an exact SKU match.</x:v>
      </x:c>
    </x:row>
    <x:row r="18" ht="14.25" customHeight="1">
      <x:c r="A18" s="13" t="s">
        <x:v>76</x:v>
      </x:c>
      <x:c r="B18" s="17" t="str">
        <x:v>Клин</x:v>
      </x:c>
      <x:c r="C18" s="18" t="s">
        <x:v>103</x:v>
      </x:c>
      <x:c r="D18" s="17" t="s">
        <x:v>88</x:v>
      </x:c>
      <x:c r="E18" s="122" t="n">
        <x:v>14.9</x:v>
      </x:c>
      <x:c r="F18" s="123">
        <x:v>4.99</x:v>
      </x:c>
      <x:c r="G18" s="21"/>
      <x:c r="H18" s="22" t="s">
        <x:v>95</x:v>
      </x:c>
      <x:c r="I18" s="120" t="n">
        <x:f>IF(OR(E18="",F18="",F18&gt;=E18),"",(E18-F18)/E18)</x:f>
        <x:v>0.6651006711409396</x:v>
      </x:c>
      <x:c r="J18" t="str">
        <x:v>REFERENCE / DEMO</x:v>
      </x:c>
      <x:c r="K18" s="130" t="str">
        <x:v>https://minoti.com/collections/kids-clothing-2-8-years?page=7</x:v>
      </x:c>
      <x:c r="L18" s="130" t="str">
        <x:v>Comparable Minoti leggings regular-price range; comparable retail reference, not an exact SKU match.</x:v>
      </x:c>
    </x:row>
    <x:row r="19" ht="14.25" customHeight="1">
      <x:c r="A19" s="13" t="s">
        <x:v>76</x:v>
      </x:c>
      <x:c r="B19" s="17" t="str">
        <x:v>Бански</x:v>
      </x:c>
      <x:c r="C19" s="18"/>
      <x:c r="D19" s="17" t="s">
        <x:v>88</x:v>
      </x:c>
      <x:c r="E19" s="122" t="n">
        <x:v>18.9</x:v>
      </x:c>
      <x:c r="F19" s="123">
        <x:v>6.99</x:v>
      </x:c>
      <x:c r="G19" s="21"/>
      <x:c r="H19" s="22" t="s">
        <x:v>95</x:v>
      </x:c>
      <x:c r="I19" s="120" t="n">
        <x:f>IF(OR(E19="",F19="",F19&gt;=E19),"",(E19-F19)/E19)</x:f>
        <x:v>0.6301587301587301</x:v>
      </x:c>
      <x:c r="J19" t="str">
        <x:v>REFERENCE / DEMO</x:v>
      </x:c>
      <x:c r="K19" s="130" t="str">
        <x:v>https://minoti.com/collections/minoti-kids-swimwear?page=2</x:v>
      </x:c>
      <x:c r="L19" s="130" t="str">
        <x:v>Current Minoti swimsuit regular price example; comparable retail reference, not an exact SKU match.</x:v>
      </x:c>
    </x:row>
    <x:row r="20" ht="14.25" customHeight="1">
      <x:c r="A20" s="13" t="s">
        <x:v>76</x:v>
      </x:c>
      <x:c r="B20" s="17" t="str">
        <x:v>Пуловер</x:v>
      </x:c>
      <x:c r="C20" s="18" t="s">
        <x:v>104</x:v>
      </x:c>
      <x:c r="D20" s="17" t="s">
        <x:v>105</x:v>
      </x:c>
      <x:c r="E20" s="122" t="n">
        <x:v>23.9</x:v>
      </x:c>
      <x:c r="F20" s="123">
        <x:v>4.99</x:v>
      </x:c>
      <x:c r="G20" s="21"/>
      <x:c r="H20" s="22" t="s">
        <x:v>79</x:v>
      </x:c>
      <x:c r="I20" s="120" t="n">
        <x:f>IF(OR(E20="",F20="",F20&gt;=E20),"",(E20-F20)/E20)</x:f>
        <x:v>0.7912133891213388</x:v>
      </x:c>
      <x:c r="J20" t="str">
        <x:v>REFERENCE / DEMO</x:v>
      </x:c>
      <x:c r="K20" s="130" t="str">
        <x:v>https://minoti.com/collections/kids/jnr?page=4</x:v>
      </x:c>
      <x:c r="L20" s="130" t="str">
        <x:v>Comparable Minoti knit/jumper reference; comparable retail reference, not an exact SKU match.</x:v>
      </x:c>
    </x:row>
    <x:row r="21" ht="14.25" customHeight="1">
      <x:c r="A21" s="13" t="s">
        <x:v>76</x:v>
      </x:c>
      <x:c r="B21" s="17" t="str">
        <x:v>Яке</x:v>
      </x:c>
      <x:c r="C21" s="18" t="s">
        <x:v>106</x:v>
      </x:c>
      <x:c r="D21" s="17" t="s">
        <x:v>80</x:v>
      </x:c>
      <x:c r="E21" s="122" t="n">
        <x:v>33.9</x:v>
      </x:c>
      <x:c r="F21" s="123">
        <x:v>14.99</x:v>
      </x:c>
      <x:c r="G21" s="21"/>
      <x:c r="H21" s="22" t="s">
        <x:v>79</x:v>
      </x:c>
      <x:c r="I21" s="120" t="n">
        <x:f>IF(OR(E21="",F21="",F21&gt;=E21),"",(E21-F21)/E21)</x:f>
        <x:v>0.5578171091445427</x:v>
      </x:c>
      <x:c r="J21" t="str">
        <x:v>REFERENCE / DEMO</x:v>
      </x:c>
      <x:c r="K21" s="130" t="str">
        <x:v>https://minoti.com/nl/collections/baby</x:v>
      </x:c>
      <x:c r="L21" s="130" t="str">
        <x:v>Current Minoti light/softshell jacket regular price example; comparable retail reference, not an exact SKU match.</x:v>
      </x:c>
    </x:row>
    <x:row r="22" ht="14.25" customHeight="1">
      <x:c r="A22" s="13" t="s">
        <x:v>76</x:v>
      </x:c>
      <x:c r="B22" s="48" t="str">
        <x:v>Тениска "Love Summer"</x:v>
      </x:c>
      <x:c r="C22" s="18"/>
      <x:c r="D22" s="17" t="s">
        <x:v>87</x:v>
      </x:c>
      <x:c r="E22" s="122" t="n">
        <x:v>11.9</x:v>
      </x:c>
      <x:c r="F22" s="123">
        <x:v>4.99</x:v>
      </x:c>
      <x:c r="G22" s="21"/>
      <x:c r="H22" s="22" t="s">
        <x:v>95</x:v>
      </x:c>
      <x:c r="I22" s="120" t="n">
        <x:f>IF(OR(E22="",F22="",F22&gt;=E22),"",(E22-F22)/E22)</x:f>
        <x:v>0.5806722689075631</x:v>
      </x:c>
      <x:c r="J22" t="str">
        <x:v>REFERENCE / DEMO</x:v>
      </x:c>
      <x:c r="K22" s="130" t="str">
        <x:v>https://minoti.com/nl/collections/baby</x:v>
      </x:c>
      <x:c r="L22" s="130" t="str">
        <x:v>Current Minoti single T-shirt/top reference; comparable retail reference, not an exact SKU match.</x:v>
      </x:c>
    </x:row>
    <x:row r="23" ht="14.25" customHeight="1">
      <x:c r="A23" s="13" t="s">
        <x:v>76</x:v>
      </x:c>
      <x:c r="B23" s="17" t="str">
        <x:v>Блузка</x:v>
      </x:c>
      <x:c r="C23" s="18" t="s">
        <x:v>107</x:v>
      </x:c>
      <x:c r="D23" s="17" t="s">
        <x:v>88</x:v>
      </x:c>
      <x:c r="E23" s="122" t="n">
        <x:v>11.9</x:v>
      </x:c>
      <x:c r="F23" s="123">
        <x:v>4.99</x:v>
      </x:c>
      <x:c r="G23" s="21"/>
      <x:c r="H23" s="22" t="s">
        <x:v>95</x:v>
      </x:c>
      <x:c r="I23" s="120" t="n">
        <x:f>IF(OR(E23="",F23="",F23&gt;=E23),"",(E23-F23)/E23)</x:f>
        <x:v>0.5806722689075631</x:v>
      </x:c>
      <x:c r="J23" t="str">
        <x:v>REFERENCE / DEMO</x:v>
      </x:c>
      <x:c r="K23" s="130" t="str">
        <x:v>https://minoti.com/nl/collections/baby</x:v>
      </x:c>
      <x:c r="L23" s="130" t="str">
        <x:v>Current Minoti single T-shirt/top reference; comparable retail reference, not an exact SKU match.</x:v>
      </x:c>
    </x:row>
    <x:row r="24" ht="14.25" customHeight="1">
      <x:c r="A24" s="13" t="s">
        <x:v>76</x:v>
      </x:c>
      <x:c r="B24" s="17" t="str">
        <x:v>Къси панталони</x:v>
      </x:c>
      <x:c r="C24" s="18" t="s">
        <x:v>34</x:v>
      </x:c>
      <x:c r="D24" s="17" t="s">
        <x:v>80</x:v>
      </x:c>
      <x:c r="E24" s="122" t="n">
        <x:v>18.9</x:v>
      </x:c>
      <x:c r="F24" s="123">
        <x:v>9.99</x:v>
      </x:c>
      <x:c r="G24" s="21"/>
      <x:c r="H24" s="22" t="s">
        <x:v>83</x:v>
      </x:c>
      <x:c r="I24" s="120" t="n">
        <x:f>IF(OR(E24="",F24="",F24&gt;=E24),"",(E24-F24)/E24)</x:f>
        <x:v>0.47142857142857136</x:v>
      </x:c>
      <x:c r="J24" t="str">
        <x:v>REFERENCE / DEMO</x:v>
      </x:c>
      <x:c r="K24" s="130" t="str">
        <x:v>https://minoti.com/collections/kids-clothing-2-8-years?page=29</x:v>
      </x:c>
      <x:c r="L24" s="130" t="str">
        <x:v>Current Minoti shorts regular price example; comparable retail reference, not an exact SKU match.</x:v>
      </x:c>
    </x:row>
    <x:row r="25" ht="14.25" customHeight="1">
      <x:c r="A25" s="13" t="s">
        <x:v>76</x:v>
      </x:c>
      <x:c r="B25" s="17" t="str">
        <x:v>Дънки</x:v>
      </x:c>
      <x:c r="C25" s="18" t="s">
        <x:v>108</x:v>
      </x:c>
      <x:c r="D25" s="17" t="s">
        <x:v>85</x:v>
      </x:c>
      <x:c r="E25" s="122" t="n">
        <x:v>23.9</x:v>
      </x:c>
      <x:c r="F25" s="123">
        <x:v>12.99</x:v>
      </x:c>
      <x:c r="G25" s="21"/>
      <x:c r="H25" s="22" t="s">
        <x:v>79</x:v>
      </x:c>
      <x:c r="I25" s="120" t="n">
        <x:f>IF(OR(E25="",F25="",F25&gt;=E25),"",(E25-F25)/E25)</x:f>
        <x:v>0.45648535564853554</x:v>
      </x:c>
      <x:c r="J25" t="str">
        <x:v>REFERENCE / DEMO</x:v>
      </x:c>
      <x:c r="K25" s="130" t="str">
        <x:v>https://www.ozone.ro/brand-minoti/</x:v>
      </x:c>
      <x:c r="L25" s="130" t="str">
        <x:v>Ozone Minoti jeans SRP/category reference; comparable retail reference, not an exact SKU match.</x:v>
      </x:c>
    </x:row>
    <x:row r="26" ht="14.25" customHeight="1">
      <x:c r="A26" s="13" t="s">
        <x:v>76</x:v>
      </x:c>
      <x:c r="B26" s="17" t="str">
        <x:v>Блузка</x:v>
      </x:c>
      <x:c r="C26" s="18" t="s">
        <x:v>109</x:v>
      </x:c>
      <x:c r="D26" s="17" t="s">
        <x:v>110</x:v>
      </x:c>
      <x:c r="E26" s="122" t="n">
        <x:v>12.9</x:v>
      </x:c>
      <x:c r="F26" s="123">
        <x:v>9.99</x:v>
      </x:c>
      <x:c r="G26" s="21"/>
      <x:c r="H26" s="22" t="s">
        <x:v>95</x:v>
      </x:c>
      <x:c r="I26" s="120" t="n">
        <x:f>IF(OR(E26="",F26="",F26&gt;=E26),"",(E26-F26)/E26)</x:f>
        <x:v>0.22558139534883723</x:v>
      </x:c>
      <x:c r="J26" t="str">
        <x:v>REFERENCE / DEMO</x:v>
      </x:c>
      <x:c r="K26" s="130" t="str">
        <x:v>https://minoti.com/nl/collections/baby</x:v>
      </x:c>
      <x:c r="L26" s="130" t="str">
        <x:v>Current Minoti single T-shirt/top reference; comparable retail reference, not an exact SKU match.</x:v>
      </x:c>
    </x:row>
    <x:row r="27" ht="14.25" customHeight="1">
      <x:c r="A27" s="13" t="s">
        <x:v>76</x:v>
      </x:c>
      <x:c r="B27" s="17" t="str">
        <x:v>Дънки</x:v>
      </x:c>
      <x:c r="C27" s="18" t="s">
        <x:v>48</x:v>
      </x:c>
      <x:c r="D27" s="17" t="s">
        <x:v>87</x:v>
      </x:c>
      <x:c r="E27" s="122" t="n">
        <x:v>23.9</x:v>
      </x:c>
      <x:c r="F27" s="123">
        <x:v>9.99</x:v>
      </x:c>
      <x:c r="G27" s="21"/>
      <x:c r="H27" s="22" t="s">
        <x:v>111</x:v>
      </x:c>
      <x:c r="I27" s="120" t="n">
        <x:f>IF(OR(E27="",F27="",F27&gt;=E27),"",(E27-F27)/E27)</x:f>
        <x:v>0.5820083682008368</x:v>
      </x:c>
      <x:c r="J27" t="str">
        <x:v>REFERENCE / DEMO</x:v>
      </x:c>
      <x:c r="K27" s="130" t="str">
        <x:v>https://www.ozone.ro/brand-minoti/</x:v>
      </x:c>
      <x:c r="L27" s="130" t="str">
        <x:v>Ozone Minoti jeans SRP/category reference; comparable retail reference, not an exact SKU match.</x:v>
      </x:c>
    </x:row>
    <x:row r="28" ht="14.25" customHeight="1">
      <x:c r="A28" s="13" t="s">
        <x:v>76</x:v>
      </x:c>
      <x:c r="B28" s="17" t="str">
        <x:v>Комплект</x:v>
      </x:c>
      <x:c r="C28" s="18" t="s">
        <x:v>112</x:v>
      </x:c>
      <x:c r="D28" s="17" t="s">
        <x:v>113</x:v>
      </x:c>
      <x:c r="E28" s="122" t="n">
        <x:v>26.9</x:v>
      </x:c>
      <x:c r="F28" s="123">
        <x:v>14.99</x:v>
      </x:c>
      <x:c r="G28" s="21"/>
      <x:c r="H28" s="22" t="s">
        <x:v>114</x:v>
      </x:c>
      <x:c r="I28" s="120" t="n">
        <x:f>IF(OR(E28="",F28="",F28&gt;=E28),"",(E28-F28)/E28)</x:f>
        <x:v>0.4427509293680297</x:v>
      </x:c>
      <x:c r="J28" t="str">
        <x:v>REFERENCE / DEMO</x:v>
      </x:c>
      <x:c r="K28" s="130" t="str">
        <x:v>https://minoti.com/collections/baby</x:v>
      </x:c>
      <x:c r="L28" s="130" t="str">
        <x:v>Comparable Minoti matching set; comparable retail reference, not an exact SKU match.</x:v>
      </x:c>
    </x:row>
    <x:row r="29" ht="14.25" customHeight="1">
      <x:c r="A29" s="13" t="s">
        <x:v>76</x:v>
      </x:c>
      <x:c r="B29" s="17" t="str">
        <x:v>Блузка</x:v>
      </x:c>
      <x:c r="C29" s="18" t="s">
        <x:v>115</x:v>
      </x:c>
      <x:c r="D29" s="17" t="s">
        <x:v>116</x:v>
      </x:c>
      <x:c r="E29" s="122" t="n">
        <x:v>12.9</x:v>
      </x:c>
      <x:c r="F29" s="123">
        <x:v>9.99</x:v>
      </x:c>
      <x:c r="G29" s="21"/>
      <x:c r="H29" s="22" t="s">
        <x:v>79</x:v>
      </x:c>
      <x:c r="I29" s="120" t="n">
        <x:f>IF(OR(E29="",F29="",F29&gt;=E29),"",(E29-F29)/E29)</x:f>
        <x:v>0.22558139534883723</x:v>
      </x:c>
      <x:c r="J29" t="str">
        <x:v>REFERENCE / DEMO</x:v>
      </x:c>
      <x:c r="K29" s="130" t="str">
        <x:v>https://minoti.com/nl/collections/baby</x:v>
      </x:c>
      <x:c r="L29" s="130" t="str">
        <x:v>Current Minoti single T-shirt/top reference; comparable retail reference, not an exact SKU match.</x:v>
      </x:c>
    </x:row>
    <x:row r="30" ht="14.25" customHeight="1">
      <x:c r="A30" s="13" t="s">
        <x:v>76</x:v>
      </x:c>
      <x:c r="B30" s="17" t="str">
        <x:v>Яке</x:v>
      </x:c>
      <x:c r="C30" s="18" t="s">
        <x:v>94</x:v>
      </x:c>
      <x:c r="D30" s="17" t="s">
        <x:v>110</x:v>
      </x:c>
      <x:c r="E30" s="122" t="n">
        <x:v>33.9</x:v>
      </x:c>
      <x:c r="F30" s="123">
        <x:v>15.99</x:v>
      </x:c>
      <x:c r="G30" s="21"/>
      <x:c r="H30" s="22" t="s">
        <x:v>95</x:v>
      </x:c>
      <x:c r="I30" s="120" t="n">
        <x:f>IF(OR(E30="",F30="",F30&gt;=E30),"",(E30-F30)/E30)</x:f>
        <x:v>0.5283185840707963</x:v>
      </x:c>
      <x:c r="J30" t="str">
        <x:v>REFERENCE / DEMO</x:v>
      </x:c>
      <x:c r="K30" s="130" t="str">
        <x:v>https://minoti.com/nl/collections/baby</x:v>
      </x:c>
      <x:c r="L30" s="130" t="str">
        <x:v>Current Minoti light/softshell jacket regular price example; comparable retail reference, not an exact SKU match.</x:v>
      </x:c>
    </x:row>
    <x:row r="31" ht="14.25" customHeight="1">
      <x:c r="A31" s="13" t="s">
        <x:v>76</x:v>
      </x:c>
      <x:c r="B31" s="17" t="str">
        <x:v>Яке</x:v>
      </x:c>
      <x:c r="C31" s="18" t="s">
        <x:v>106</x:v>
      </x:c>
      <x:c r="D31" s="17" t="s">
        <x:v>80</x:v>
      </x:c>
      <x:c r="E31" s="122" t="n">
        <x:v>33.9</x:v>
      </x:c>
      <x:c r="F31" s="123">
        <x:v>19.989999999999998</x:v>
      </x:c>
      <x:c r="G31" s="21"/>
      <x:c r="H31" s="22" t="s">
        <x:v>95</x:v>
      </x:c>
      <x:c r="I31" s="120" t="n">
        <x:f>IF(OR(E31="",F31="",F31&gt;=E31),"",(E31-F31)/E31)</x:f>
        <x:v>0.4103244837758112</x:v>
      </x:c>
      <x:c r="J31" t="str">
        <x:v>REFERENCE / DEMO</x:v>
      </x:c>
      <x:c r="K31" s="130" t="str">
        <x:v>https://minoti.com/nl/collections/baby</x:v>
      </x:c>
      <x:c r="L31" s="130" t="str">
        <x:v>Current Minoti light/softshell jacket regular price example; comparable retail reference, not an exact SKU match.</x:v>
      </x:c>
    </x:row>
    <x:row r="32" ht="14.25" customHeight="1">
      <x:c r="A32" s="13" t="s">
        <x:v>76</x:v>
      </x:c>
      <x:c r="B32" s="17" t="str">
        <x:v>Яке</x:v>
      </x:c>
      <x:c r="C32" s="18" t="s">
        <x:v>117</x:v>
      </x:c>
      <x:c r="D32" s="17" t="s">
        <x:v>87</x:v>
      </x:c>
      <x:c r="E32" s="122" t="n">
        <x:v>33.9</x:v>
      </x:c>
      <x:c r="F32" s="123">
        <x:v>14.99</x:v>
      </x:c>
      <x:c r="G32" s="21"/>
      <x:c r="H32" s="22" t="s">
        <x:v>83</x:v>
      </x:c>
      <x:c r="I32" s="120" t="n">
        <x:f>IF(OR(E32="",F32="",F32&gt;=E32),"",(E32-F32)/E32)</x:f>
        <x:v>0.5578171091445427</x:v>
      </x:c>
      <x:c r="J32" t="str">
        <x:v>REFERENCE / DEMO</x:v>
      </x:c>
      <x:c r="K32" s="130" t="str">
        <x:v>https://minoti.com/nl/collections/baby</x:v>
      </x:c>
      <x:c r="L32" s="130" t="str">
        <x:v>Current Minoti light/softshell jacket regular price example; comparable retail reference, not an exact SKU match.</x:v>
      </x:c>
    </x:row>
    <x:row r="33" ht="14.25" customHeight="1">
      <x:c r="A33" s="13" t="s">
        <x:v>76</x:v>
      </x:c>
      <x:c r="B33" s="25" t="str">
        <x:v>2 рокли (комплект?)</x:v>
      </x:c>
      <x:c r="C33" s="18"/>
      <x:c r="D33" s="17" t="s">
        <x:v>87</x:v>
      </x:c>
      <x:c r="E33" s="122" t="n">
        <x:v>26.9</x:v>
      </x:c>
      <x:c r="F33" s="123">
        <x:v>9.99</x:v>
      </x:c>
      <x:c r="G33" s="21"/>
      <x:c r="H33" s="22" t="s">
        <x:v>100</x:v>
      </x:c>
      <x:c r="I33" s="120" t="n">
        <x:f>IF(OR(E33="",F33="",F33&gt;=E33),"",(E33-F33)/E33)</x:f>
        <x:v>0.6286245353159851</x:v>
      </x:c>
      <x:c r="J33" t="str">
        <x:v>REFERENCE / DEMO</x:v>
      </x:c>
      <x:c r="K33" s="130" t="str">
        <x:v>https://minoti.com/collections/multipacks</x:v>
      </x:c>
      <x:c r="L33" s="130" t="str">
        <x:v>Comparable Minoti dress multipack; comparable retail reference, not an exact SKU match.</x:v>
      </x:c>
    </x:row>
    <x:row r="34" ht="14.25" customHeight="1">
      <x:c r="A34" s="13" t="s">
        <x:v>76</x:v>
      </x:c>
      <x:c r="B34" s="17" t="str">
        <x:v>Блузка</x:v>
      </x:c>
      <x:c r="C34" s="18" t="s">
        <x:v>118</x:v>
      </x:c>
      <x:c r="D34" s="17" t="s">
        <x:v>87</x:v>
      </x:c>
      <x:c r="E34" s="122" t="n">
        <x:v>12.9</x:v>
      </x:c>
      <x:c r="F34" s="123">
        <x:v>9.99</x:v>
      </x:c>
      <x:c r="G34" s="21"/>
      <x:c r="H34" s="22" t="s">
        <x:v>95</x:v>
      </x:c>
      <x:c r="I34" s="120" t="n">
        <x:f>IF(OR(E34="",F34="",F34&gt;=E34),"",(E34-F34)/E34)</x:f>
        <x:v>0.22558139534883723</x:v>
      </x:c>
      <x:c r="J34" t="str">
        <x:v>REFERENCE / DEMO</x:v>
      </x:c>
      <x:c r="K34" s="130" t="str">
        <x:v>https://minoti.com/nl/collections/baby</x:v>
      </x:c>
      <x:c r="L34" s="130" t="str">
        <x:v>Current Minoti single T-shirt/top reference; comparable retail reference, not an exact SKU match.</x:v>
      </x:c>
    </x:row>
    <x:row r="35" ht="14.25" customHeight="1">
      <x:c r="A35" s="13" t="s">
        <x:v>76</x:v>
      </x:c>
      <x:c r="B35" s="17" t="str">
        <x:v>Блузка</x:v>
      </x:c>
      <x:c r="C35" s="18" t="s">
        <x:v>119</x:v>
      </x:c>
      <x:c r="D35" s="17" t="s">
        <x:v>99</x:v>
      </x:c>
      <x:c r="E35" s="122" t="n">
        <x:v>11.9</x:v>
      </x:c>
      <x:c r="F35" s="123">
        <x:v>6.99</x:v>
      </x:c>
      <x:c r="G35" s="21"/>
      <x:c r="H35" s="22" t="s">
        <x:v>95</x:v>
      </x:c>
      <x:c r="I35" s="120" t="n">
        <x:f>IF(OR(E35="",F35="",F35&gt;=E35),"",(E35-F35)/E35)</x:f>
        <x:v>0.4126050420168067</x:v>
      </x:c>
      <x:c r="J35" t="str">
        <x:v>REFERENCE / DEMO</x:v>
      </x:c>
      <x:c r="K35" s="130" t="str">
        <x:v>https://minoti.com/nl/collections/baby</x:v>
      </x:c>
      <x:c r="L35" s="130" t="str">
        <x:v>Current Minoti single T-shirt/top reference; comparable retail reference, not an exact SKU match.</x:v>
      </x:c>
    </x:row>
    <x:row r="36" ht="14.25" customHeight="1">
      <x:c r="A36" s="13" t="s">
        <x:v>76</x:v>
      </x:c>
      <x:c r="B36" s="25" t="str">
        <x:v>2 рокли (комплект?)</x:v>
      </x:c>
      <x:c r="C36" s="18"/>
      <x:c r="D36" s="17" t="s">
        <x:v>80</x:v>
      </x:c>
      <x:c r="E36" s="122" t="n">
        <x:v>26.9</x:v>
      </x:c>
      <x:c r="F36" s="123">
        <x:v>9.99</x:v>
      </x:c>
      <x:c r="G36" s="21"/>
      <x:c r="H36" s="22" t="s">
        <x:v>120</x:v>
      </x:c>
      <x:c r="I36" s="120" t="n">
        <x:f>IF(OR(E36="",F36="",F36&gt;=E36),"",(E36-F36)/E36)</x:f>
        <x:v>0.6286245353159851</x:v>
      </x:c>
      <x:c r="J36" t="str">
        <x:v>REFERENCE / DEMO</x:v>
      </x:c>
      <x:c r="K36" s="130" t="str">
        <x:v>https://minoti.com/collections/multipacks</x:v>
      </x:c>
      <x:c r="L36" s="130" t="str">
        <x:v>Comparable Minoti dress multipack; comparable retail reference, not an exact SKU match.</x:v>
      </x:c>
    </x:row>
    <x:row r="37" ht="14.25" customHeight="1">
      <x:c r="A37" s="13" t="s">
        <x:v>76</x:v>
      </x:c>
      <x:c r="B37" s="25" t="str">
        <x:v>2 шапки (комплект?)</x:v>
      </x:c>
      <x:c r="C37" s="18"/>
      <x:c r="D37" s="17" t="s">
        <x:v>105</x:v>
      </x:c>
      <x:c r="E37" s="122" t="n">
        <x:v>8.9</x:v>
      </x:c>
      <x:c r="F37" s="123">
        <x:v>4.99</x:v>
      </x:c>
      <x:c r="G37" s="21"/>
      <x:c r="H37" s="22" t="s">
        <x:v>121</x:v>
      </x:c>
      <x:c r="I37" s="120" t="n">
        <x:f>IF(OR(E37="",F37="",F37&gt;=E37),"",(E37-F37)/E37)</x:f>
        <x:v>0.4393258426966292</x:v>
      </x:c>
      <x:c r="J37" t="str">
        <x:v>REFERENCE / DEMO</x:v>
      </x:c>
      <x:c r="K37" s="130" t="str">
        <x:v>https://minoti.com/collections/baby-accessories</x:v>
      </x:c>
      <x:c r="L37" s="130" t="str">
        <x:v>Comparable Minoti baby hat pack; comparable retail reference, not an exact SKU match.</x:v>
      </x:c>
    </x:row>
    <x:row r="38" ht="14.25" customHeight="1">
      <x:c r="A38" s="13" t="s">
        <x:v>76</x:v>
      </x:c>
      <x:c r="B38" s="17" t="str">
        <x:v>Блузка</x:v>
      </x:c>
      <x:c r="C38" s="18" t="s">
        <x:v>122</x:v>
      </x:c>
      <x:c r="D38" s="17" t="s">
        <x:v>99</x:v>
      </x:c>
      <x:c r="E38" s="122" t="n">
        <x:v>11.9</x:v>
      </x:c>
      <x:c r="F38" s="123">
        <x:v>4.99</x:v>
      </x:c>
      <x:c r="G38" s="21"/>
      <x:c r="H38" s="22" t="s">
        <x:v>95</x:v>
      </x:c>
      <x:c r="I38" s="120" t="n">
        <x:f>IF(OR(E38="",F38="",F38&gt;=E38),"",(E38-F38)/E38)</x:f>
        <x:v>0.5806722689075631</x:v>
      </x:c>
      <x:c r="J38" t="str">
        <x:v>REFERENCE / DEMO</x:v>
      </x:c>
      <x:c r="K38" s="130" t="str">
        <x:v>https://minoti.com/nl/collections/baby</x:v>
      </x:c>
      <x:c r="L38" s="130" t="str">
        <x:v>Current Minoti single T-shirt/top reference; comparable retail reference, not an exact SKU match.</x:v>
      </x:c>
    </x:row>
    <x:row r="39" ht="14.25" customHeight="1">
      <x:c r="A39" s="13" t="s">
        <x:v>76</x:v>
      </x:c>
      <x:c r="B39" s="17" t="str">
        <x:v>Клин</x:v>
      </x:c>
      <x:c r="C39" s="18" t="s">
        <x:v>123</x:v>
      </x:c>
      <x:c r="D39" s="17" t="s">
        <x:v>88</x:v>
      </x:c>
      <x:c r="E39" s="122" t="n">
        <x:v>14.9</x:v>
      </x:c>
      <x:c r="F39" s="123">
        <x:v>4.99</x:v>
      </x:c>
      <x:c r="G39" s="21"/>
      <x:c r="H39" s="22" t="s">
        <x:v>79</x:v>
      </x:c>
      <x:c r="I39" s="120" t="n">
        <x:f>IF(OR(E39="",F39="",F39&gt;=E39),"",(E39-F39)/E39)</x:f>
        <x:v>0.6651006711409396</x:v>
      </x:c>
      <x:c r="J39" t="str">
        <x:v>REFERENCE / DEMO</x:v>
      </x:c>
      <x:c r="K39" s="130" t="str">
        <x:v>https://minoti.com/collections/kids-clothing-2-8-years?page=7</x:v>
      </x:c>
      <x:c r="L39" s="130" t="str">
        <x:v>Comparable Minoti leggings regular-price range; comparable retail reference, not an exact SKU match.</x:v>
      </x:c>
    </x:row>
    <x:row r="40" ht="14.25" customHeight="1">
      <x:c r="A40" s="13" t="s">
        <x:v>76</x:v>
      </x:c>
      <x:c r="B40" s="17" t="str">
        <x:v>Клин</x:v>
      </x:c>
      <x:c r="C40" s="18" t="s">
        <x:v>124</x:v>
      </x:c>
      <x:c r="D40" s="17" t="s">
        <x:v>87</x:v>
      </x:c>
      <x:c r="E40" s="122" t="n">
        <x:v>14.9</x:v>
      </x:c>
      <x:c r="F40" s="123">
        <x:v>4.99</x:v>
      </x:c>
      <x:c r="G40" s="21"/>
      <x:c r="H40" s="22" t="s">
        <x:v>95</x:v>
      </x:c>
      <x:c r="I40" s="120" t="n">
        <x:f>IF(OR(E40="",F40="",F40&gt;=E40),"",(E40-F40)/E40)</x:f>
        <x:v>0.6651006711409396</x:v>
      </x:c>
      <x:c r="J40" t="str">
        <x:v>REFERENCE / DEMO</x:v>
      </x:c>
      <x:c r="K40" s="130" t="str">
        <x:v>https://minoti.com/collections/kids-clothing-2-8-years?page=7</x:v>
      </x:c>
      <x:c r="L40" s="130" t="str">
        <x:v>Comparable Minoti leggings regular-price range; comparable retail reference, not an exact SKU match.</x:v>
      </x:c>
    </x:row>
    <x:row r="41" ht="14.25" customHeight="1">
      <x:c r="A41" s="13" t="s">
        <x:v>76</x:v>
      </x:c>
      <x:c r="B41" s="17" t="str">
        <x:v>Бански</x:v>
      </x:c>
      <x:c r="C41" s="18" t="s">
        <x:v>125</x:v>
      </x:c>
      <x:c r="D41" s="17" t="s">
        <x:v>88</x:v>
      </x:c>
      <x:c r="E41" s="122" t="n">
        <x:v>18.9</x:v>
      </x:c>
      <x:c r="F41" s="123">
        <x:v>4.99</x:v>
      </x:c>
      <x:c r="G41" s="21"/>
      <x:c r="H41" s="22" t="s">
        <x:v>126</x:v>
      </x:c>
      <x:c r="I41" s="120" t="n">
        <x:f>IF(OR(E41="",F41="",F41&gt;=E41),"",(E41-F41)/E41)</x:f>
        <x:v>0.735978835978836</x:v>
      </x:c>
      <x:c r="J41" t="str">
        <x:v>REFERENCE / DEMO</x:v>
      </x:c>
      <x:c r="K41" s="130" t="str">
        <x:v>https://minoti.com/collections/minoti-kids-swimwear?page=2</x:v>
      </x:c>
      <x:c r="L41" s="130" t="str">
        <x:v>Current Minoti swimsuit regular price example; comparable retail reference, not an exact SKU match.</x:v>
      </x:c>
    </x:row>
    <x:row r="42" ht="14.25" customHeight="1">
      <x:c r="A42" s="13" t="s">
        <x:v>76</x:v>
      </x:c>
      <x:c r="B42" s="17" t="str">
        <x:v>Пликчета</x:v>
      </x:c>
      <x:c r="C42" s="18"/>
      <x:c r="D42" s="17" t="s">
        <x:v>127</x:v>
      </x:c>
      <x:c r="E42" s="122" t="n">
        <x:v>18.9</x:v>
      </x:c>
      <x:c r="F42" s="123">
        <x:v>9.99</x:v>
      </x:c>
      <x:c r="G42" s="21"/>
      <x:c r="H42" s="22" t="s">
        <x:v>83</x:v>
      </x:c>
      <x:c r="I42" s="120" t="n">
        <x:f>IF(OR(E42="",F42="",F42&gt;=E42),"",(E42-F42)/E42)</x:f>
        <x:v>0.47142857142857136</x:v>
      </x:c>
      <x:c r="J42" t="str">
        <x:v>REFERENCE / DEMO</x:v>
      </x:c>
      <x:c r="K42" s="130" t="str">
        <x:v>https://minoti.com/collections/pack-3</x:v>
      </x:c>
      <x:c r="L42" s="130" t="str">
        <x:v>Comparable Minoti underwear multipack; comparable retail reference, not an exact SKU match.</x:v>
      </x:c>
    </x:row>
    <x:row r="43" ht="14.25" customHeight="1">
      <x:c r="A43" s="13" t="s">
        <x:v>76</x:v>
      </x:c>
      <x:c r="B43" s="25" t="str">
        <x:v>Комплект от 4 ромпъра</x:v>
      </x:c>
      <x:c r="C43" s="24"/>
      <x:c r="D43" s="17" t="s">
        <x:v>128</x:v>
      </x:c>
      <x:c r="E43" s="122" t="n">
        <x:v>28.9</x:v>
      </x:c>
      <x:c r="F43" s="123">
        <x:v>9.99</x:v>
      </x:c>
      <x:c r="G43" s="21"/>
      <x:c r="H43" s="22" t="s">
        <x:v>121</x:v>
      </x:c>
      <x:c r="I43" s="120" t="n">
        <x:f>IF(OR(E43="",F43="",F43&gt;=E43),"",(E43-F43)/E43)</x:f>
        <x:v>0.6543252595155709</x:v>
      </x:c>
      <x:c r="J43" t="str">
        <x:v>REFERENCE / DEMO</x:v>
      </x:c>
      <x:c r="K43" s="130" t="str">
        <x:v>https://minoti.com/collections/baby</x:v>
      </x:c>
      <x:c r="L43" s="130" t="str">
        <x:v>Comparable Minoti baby multipack; comparable retail reference, not an exact SKU match.</x:v>
      </x:c>
    </x:row>
    <x:row r="44" ht="14.25" customHeight="1">
      <x:c r="A44" s="13" t="s">
        <x:v>76</x:v>
      </x:c>
      <x:c r="B44" s="17" t="str">
        <x:v>Комплект от 2 шапки</x:v>
      </x:c>
      <x:c r="C44" s="24"/>
      <x:c r="D44" s="17" t="s">
        <x:v>129</x:v>
      </x:c>
      <x:c r="E44" s="122" t="n">
        <x:v>8.9</x:v>
      </x:c>
      <x:c r="F44" s="123">
        <x:v>4.99</x:v>
      </x:c>
      <x:c r="G44" s="21"/>
      <x:c r="H44" s="22" t="s">
        <x:v>130</x:v>
      </x:c>
      <x:c r="I44" s="120" t="n">
        <x:f>IF(OR(E44="",F44="",F44&gt;=E44),"",(E44-F44)/E44)</x:f>
        <x:v>0.4393258426966292</x:v>
      </x:c>
      <x:c r="J44" t="str">
        <x:v>REFERENCE / DEMO</x:v>
      </x:c>
      <x:c r="K44" s="130" t="str">
        <x:v>https://minoti.com/collections/baby-accessories</x:v>
      </x:c>
      <x:c r="L44" s="130" t="str">
        <x:v>Comparable Minoti baby hat pack; comparable retail reference, not an exact SKU match.</x:v>
      </x:c>
    </x:row>
    <x:row r="45" ht="14.25" customHeight="1">
      <x:c r="A45" s="13" t="s">
        <x:v>76</x:v>
      </x:c>
      <x:c r="B45" s="17" t="str">
        <x:v>Блузка</x:v>
      </x:c>
      <x:c r="C45" s="18" t="s">
        <x:v>131</x:v>
      </x:c>
      <x:c r="D45" s="17" t="s">
        <x:v>99</x:v>
      </x:c>
      <x:c r="E45" s="122" t="n">
        <x:v>11.9</x:v>
      </x:c>
      <x:c r="F45" s="123">
        <x:v>8.99</x:v>
      </x:c>
      <x:c r="G45" s="21"/>
      <x:c r="H45" s="22" t="s">
        <x:v>132</x:v>
      </x:c>
      <x:c r="I45" s="120" t="n">
        <x:f>IF(OR(E45="",F45="",F45&gt;=E45),"",(E45-F45)/E45)</x:f>
        <x:v>0.2445378151260504</x:v>
      </x:c>
      <x:c r="J45" t="str">
        <x:v>REFERENCE / DEMO</x:v>
      </x:c>
      <x:c r="K45" s="130" t="str">
        <x:v>https://minoti.com/nl/collections/baby</x:v>
      </x:c>
      <x:c r="L45" s="130" t="str">
        <x:v>Current Minoti single T-shirt/top reference; comparable retail reference, not an exact SKU match.</x:v>
      </x:c>
    </x:row>
    <x:row r="46" ht="14.25" customHeight="1">
      <x:c r="A46" s="13" t="s">
        <x:v>76</x:v>
      </x:c>
      <x:c r="B46" s="17" t="str">
        <x:v>Поличка</x:v>
      </x:c>
      <x:c r="C46" s="18" t="s">
        <x:v>133</x:v>
      </x:c>
      <x:c r="D46" s="17" t="s">
        <x:v>88</x:v>
      </x:c>
      <x:c r="E46" s="122" t="n">
        <x:v>18.9</x:v>
      </x:c>
      <x:c r="F46" s="123">
        <x:v>8.99</x:v>
      </x:c>
      <x:c r="G46" s="21"/>
      <x:c r="H46" s="22" t="s">
        <x:v>95</x:v>
      </x:c>
      <x:c r="I46" s="120" t="n">
        <x:f>IF(OR(E46="",F46="",F46&gt;=E46),"",(E46-F46)/E46)</x:f>
        <x:v>0.5243386243386243</x:v>
      </x:c>
      <x:c r="J46" t="str">
        <x:v>REFERENCE / DEMO</x:v>
      </x:c>
      <x:c r="K46" s="130" t="str">
        <x:v>https://minoti.com/collections/kids-clothing-2-8-years?page=29</x:v>
      </x:c>
      <x:c r="L46" s="130" t="str">
        <x:v>Current Minoti skirt/shorts price band; comparable retail reference, not an exact SKU match.</x:v>
      </x:c>
    </x:row>
    <x:row r="47" ht="14.25" customHeight="1">
      <x:c r="A47" s="13" t="s">
        <x:v>76</x:v>
      </x:c>
      <x:c r="B47" s="17" t="str">
        <x:v>Комплект от 5 пликчета</x:v>
      </x:c>
      <x:c r="C47" s="18" t="s">
        <x:v>134</x:v>
      </x:c>
      <x:c r="D47" s="17" t="s">
        <x:v>87</x:v>
      </x:c>
      <x:c r="E47" s="122" t="n">
        <x:v>28.9</x:v>
      </x:c>
      <x:c r="F47" s="123">
        <x:v>6.99</x:v>
      </x:c>
      <x:c r="G47" s="21"/>
      <x:c r="H47" s="22" t="s">
        <x:v>135</x:v>
      </x:c>
      <x:c r="I47" s="120" t="n">
        <x:f>IF(OR(E47="",F47="",F47&gt;=E47),"",(E47-F47)/E47)</x:f>
        <x:v>0.7581314878892733</x:v>
      </x:c>
      <x:c r="J47" t="str">
        <x:v>REFERENCE / DEMO</x:v>
      </x:c>
      <x:c r="K47" s="130" t="str">
        <x:v>https://minoti.com/collections/multipacks</x:v>
      </x:c>
      <x:c r="L47" s="130" t="str">
        <x:v>Comparable Minoti underwear multipack; comparable retail reference, not an exact SKU match.</x:v>
      </x:c>
    </x:row>
    <x:row r="48" ht="14.25" customHeight="1">
      <x:c r="A48" s="13" t="s">
        <x:v>76</x:v>
      </x:c>
      <x:c r="B48" s="17" t="str">
        <x:v>Блузка "LOVE"</x:v>
      </x:c>
      <x:c r="C48" s="18"/>
      <x:c r="D48" s="17" t="s">
        <x:v>87</x:v>
      </x:c>
      <x:c r="E48" s="122" t="n">
        <x:v>11.9</x:v>
      </x:c>
      <x:c r="F48" s="123">
        <x:v>6.99</x:v>
      </x:c>
      <x:c r="G48" s="21"/>
      <x:c r="H48" s="22" t="s">
        <x:v>95</x:v>
      </x:c>
      <x:c r="I48" s="120" t="n">
        <x:f>IF(OR(E48="",F48="",F48&gt;=E48),"",(E48-F48)/E48)</x:f>
        <x:v>0.4126050420168067</x:v>
      </x:c>
      <x:c r="J48" t="str">
        <x:v>REFERENCE / DEMO</x:v>
      </x:c>
      <x:c r="K48" s="130" t="str">
        <x:v>https://minoti.com/nl/collections/baby</x:v>
      </x:c>
      <x:c r="L48" s="130" t="str">
        <x:v>Current Minoti single T-shirt/top reference; comparable retail reference, not an exact SKU match.</x:v>
      </x:c>
    </x:row>
    <x:row r="49" ht="14.25" customHeight="1">
      <x:c r="A49" s="13" t="s">
        <x:v>76</x:v>
      </x:c>
      <x:c r="B49" s="17" t="str">
        <x:v>Комплект бодита</x:v>
      </x:c>
      <x:c r="C49" s="18"/>
      <x:c r="D49" s="17" t="s">
        <x:v>136</x:v>
      </x:c>
      <x:c r="E49" s="122" t="n">
        <x:v>18.9</x:v>
      </x:c>
      <x:c r="F49" s="123">
        <x:v>8.99</x:v>
      </x:c>
      <x:c r="G49" s="21"/>
      <x:c r="H49" s="22" t="s">
        <x:v>79</x:v>
      </x:c>
      <x:c r="I49" s="120" t="n">
        <x:f>IF(OR(E49="",F49="",F49&gt;=E49),"",(E49-F49)/E49)</x:f>
        <x:v>0.5243386243386243</x:v>
      </x:c>
      <x:c r="J49" t="str">
        <x:v>REFERENCE / DEMO</x:v>
      </x:c>
      <x:c r="K49" s="130" t="str">
        <x:v>https://minoti.com/collections/multipacks</x:v>
      </x:c>
      <x:c r="L49" s="130" t="str">
        <x:v>Minoti 3-pack bodysuit reference; comparable retail reference, not an exact SKU match.</x:v>
      </x:c>
    </x:row>
    <x:row r="50" ht="14.25" customHeight="1">
      <x:c r="A50" s="13" t="s">
        <x:v>76</x:v>
      </x:c>
      <x:c r="B50" s="17" t="str">
        <x:v>Бански</x:v>
      </x:c>
      <x:c r="C50" s="18" t="s">
        <x:v>137</x:v>
      </x:c>
      <x:c r="D50" s="17" t="s">
        <x:v>110</x:v>
      </x:c>
      <x:c r="E50" s="122" t="n">
        <x:v>18.9</x:v>
      </x:c>
      <x:c r="F50" s="123">
        <x:v>9.99</x:v>
      </x:c>
      <x:c r="G50" s="21"/>
      <x:c r="H50" s="22" t="s">
        <x:v>79</x:v>
      </x:c>
      <x:c r="I50" s="120" t="n">
        <x:f>IF(OR(E50="",F50="",F50&gt;=E50),"",(E50-F50)/E50)</x:f>
        <x:v>0.47142857142857136</x:v>
      </x:c>
      <x:c r="J50" t="str">
        <x:v>REFERENCE / DEMO</x:v>
      </x:c>
      <x:c r="K50" s="130" t="str">
        <x:v>https://minoti.com/collections/minoti-kids-swimwear?page=2</x:v>
      </x:c>
      <x:c r="L50" s="130" t="str">
        <x:v>Current Minoti swimsuit regular price example; comparable retail reference, not an exact SKU match.</x:v>
      </x:c>
    </x:row>
    <x:row r="51" ht="14.25" customHeight="1">
      <x:c r="A51" s="13" t="s">
        <x:v>76</x:v>
      </x:c>
      <x:c r="B51" s="17" t="str">
        <x:v>Чорапи</x:v>
      </x:c>
      <x:c r="C51" s="18"/>
      <x:c r="D51" s="17" t="s">
        <x:v>138</x:v>
      </x:c>
      <x:c r="E51" s="122" t="n">
        <x:v>6.9</x:v>
      </x:c>
      <x:c r="F51" s="123">
        <x:v>4.99</x:v>
      </x:c>
      <x:c r="G51" s="21"/>
      <x:c r="H51" s="22" t="s">
        <x:v>79</x:v>
      </x:c>
      <x:c r="I51" s="120" t="n">
        <x:f>IF(OR(E51="",F51="",F51&gt;=E51),"",(E51-F51)/E51)</x:f>
        <x:v>0.2768115942028986</x:v>
      </x:c>
      <x:c r="J51" t="str">
        <x:v>REFERENCE / DEMO</x:v>
      </x:c>
      <x:c r="K51" s="130" t="str">
        <x:v>https://minoti.com/products/boys-cotton-socks-blue-13sock3</x:v>
      </x:c>
      <x:c r="L51" s="130" t="str">
        <x:v>Comparable Minoti socks pack; comparable retail reference, not an exact SKU match.</x:v>
      </x:c>
    </x:row>
    <x:row r="52" ht="14.25" customHeight="1">
      <x:c r="A52" s="13" t="s">
        <x:v>76</x:v>
      </x:c>
      <x:c r="B52" s="17" t="str">
        <x:v>Чорапи</x:v>
      </x:c>
      <x:c r="C52" s="18"/>
      <x:c r="D52" s="17" t="s">
        <x:v>139</x:v>
      </x:c>
      <x:c r="E52" s="122" t="n">
        <x:v>6.9</x:v>
      </x:c>
      <x:c r="F52" s="123">
        <x:v>4.99</x:v>
      </x:c>
      <x:c r="G52" s="21"/>
      <x:c r="H52" s="22" t="s">
        <x:v>79</x:v>
      </x:c>
      <x:c r="I52" s="120" t="n">
        <x:f>IF(OR(E52="",F52="",F52&gt;=E52),"",(E52-F52)/E52)</x:f>
        <x:v>0.2768115942028986</x:v>
      </x:c>
      <x:c r="J52" t="str">
        <x:v>REFERENCE / DEMO</x:v>
      </x:c>
      <x:c r="K52" s="130" t="str">
        <x:v>https://minoti.com/products/boys-cotton-socks-blue-13sock3</x:v>
      </x:c>
      <x:c r="L52" s="130" t="str">
        <x:v>Comparable Minoti socks pack; comparable retail reference, not an exact SKU match.</x:v>
      </x:c>
    </x:row>
    <x:row r="53" ht="14.25" customHeight="1">
      <x:c r="A53" s="13" t="s">
        <x:v>76</x:v>
      </x:c>
      <x:c r="B53" s="17" t="str">
        <x:v>Лятна Рокля</x:v>
      </x:c>
      <x:c r="C53" s="18" t="s">
        <x:v>140</x:v>
      </x:c>
      <x:c r="D53" s="17" t="s">
        <x:v>116</x:v>
      </x:c>
      <x:c r="E53" s="122" t="n">
        <x:v>23.9</x:v>
      </x:c>
      <x:c r="F53" s="123">
        <x:v>7.99</x:v>
      </x:c>
      <x:c r="G53" s="21"/>
      <x:c r="H53" s="22" t="s">
        <x:v>79</x:v>
      </x:c>
      <x:c r="I53" s="120" t="n">
        <x:f>IF(OR(E53="",F53="",F53&gt;=E53),"",(E53-F53)/E53)</x:f>
        <x:v>0.6656903765690376</x:v>
      </x:c>
      <x:c r="J53" t="str">
        <x:v>REFERENCE / DEMO</x:v>
      </x:c>
      <x:c r="K53" s="130" t="str">
        <x:v>https://minoti.com/nl/collections/baby</x:v>
      </x:c>
      <x:c r="L53" s="130" t="str">
        <x:v>Current Minoti casual dress reference; comparable retail reference, not an exact SKU match.</x:v>
      </x:c>
    </x:row>
    <x:row r="54" ht="14.25" customHeight="1">
      <x:c r="A54" s="13" t="s">
        <x:v>76</x:v>
      </x:c>
      <x:c r="B54" s="17" t="str">
        <x:v>Панталонче</x:v>
      </x:c>
      <x:c r="C54" s="18"/>
      <x:c r="D54" s="17" t="s">
        <x:v>105</x:v>
      </x:c>
      <x:c r="E54" s="122" t="n">
        <x:v>23.9</x:v>
      </x:c>
      <x:c r="F54" s="123">
        <x:v>4.99</x:v>
      </x:c>
      <x:c r="G54" s="21"/>
      <x:c r="I54" s="120" t="n">
        <x:f>IF(OR(E54="",F54="",F54&gt;=E54),"",(E54-F54)/E54)</x:f>
        <x:v>0.7912133891213388</x:v>
      </x:c>
      <x:c r="J54" t="str">
        <x:v>REFERENCE / DEMO</x:v>
      </x:c>
      <x:c r="K54" s="130" t="str">
        <x:v>https://minoti.com/nl/collections/baby</x:v>
      </x:c>
      <x:c r="L54" s="130" t="str">
        <x:v>Comparable Minoti trousers/joggers reference; comparable retail reference, not an exact SKU match.</x:v>
      </x:c>
    </x:row>
    <x:row r="55" ht="14.25" customHeight="1">
      <x:c r="A55" s="13" t="s">
        <x:v>76</x:v>
      </x:c>
      <x:c r="B55" s="17" t="str">
        <x:v>Долнище</x:v>
      </x:c>
      <x:c r="C55" s="18" t="s">
        <x:v>94</x:v>
      </x:c>
      <x:c r="D55" s="17" t="s">
        <x:v>141</x:v>
      </x:c>
      <x:c r="E55" s="122" t="n">
        <x:v>23.9</x:v>
      </x:c>
      <x:c r="F55" s="123">
        <x:v>9.99</x:v>
      </x:c>
      <x:c r="G55" s="21"/>
      <x:c r="H55" s="22" t="s">
        <x:v>79</x:v>
      </x:c>
      <x:c r="I55" s="120" t="n">
        <x:f>IF(OR(E55="",F55="",F55&gt;=E55),"",(E55-F55)/E55)</x:f>
        <x:v>0.5820083682008368</x:v>
      </x:c>
      <x:c r="J55" t="str">
        <x:v>REFERENCE / DEMO</x:v>
      </x:c>
      <x:c r="K55" s="130" t="str">
        <x:v>https://minoti.com/nl/collections/baby</x:v>
      </x:c>
      <x:c r="L55" s="130" t="str">
        <x:v>Comparable Minoti trousers/joggers reference; comparable retail reference, not an exact SKU match.</x:v>
      </x:c>
    </x:row>
    <x:row r="56" ht="14.25" customHeight="1">
      <x:c r="A56" s="13" t="s">
        <x:v>76</x:v>
      </x:c>
      <x:c r="B56" s="17" t="str">
        <x:v>3 чифта чорапи</x:v>
      </x:c>
      <x:c r="C56" s="18"/>
      <x:c r="D56" s="17" t="s">
        <x:v>142</x:v>
      </x:c>
      <x:c r="E56" s="122" t="n">
        <x:v>6.9</x:v>
      </x:c>
      <x:c r="F56" s="123">
        <x:v>4.99</x:v>
      </x:c>
      <x:c r="G56" s="21"/>
      <x:c r="H56" s="22" t="s">
        <x:v>143</x:v>
      </x:c>
      <x:c r="I56" s="120" t="n">
        <x:f>IF(OR(E56="",F56="",F56&gt;=E56),"",(E56-F56)/E56)</x:f>
        <x:v>0.2768115942028986</x:v>
      </x:c>
      <x:c r="J56" t="str">
        <x:v>REFERENCE / DEMO</x:v>
      </x:c>
      <x:c r="K56" s="130" t="str">
        <x:v>https://minoti.com/products/boys-cotton-socks-blue-13sock3</x:v>
      </x:c>
      <x:c r="L56" s="130" t="str">
        <x:v>3-pack socks regular price reference; comparable retail reference, not an exact SKU match.</x:v>
      </x:c>
    </x:row>
    <x:row r="57" ht="14.25" customHeight="1">
      <x:c r="A57" s="13" t="s">
        <x:v>76</x:v>
      </x:c>
      <x:c r="B57" s="17" t="str">
        <x:v>Къси панталони</x:v>
      </x:c>
      <x:c r="C57" s="18"/>
      <x:c r="D57" s="17" t="s">
        <x:v>80</x:v>
      </x:c>
      <x:c r="E57" s="122" t="n">
        <x:v>18.9</x:v>
      </x:c>
      <x:c r="F57" s="123">
        <x:v>4.99</x:v>
      </x:c>
      <x:c r="G57" s="21"/>
      <x:c r="H57" s="22" t="s">
        <x:v>126</x:v>
      </x:c>
      <x:c r="I57" s="120" t="n">
        <x:f>IF(OR(E57="",F57="",F57&gt;=E57),"",(E57-F57)/E57)</x:f>
        <x:v>0.735978835978836</x:v>
      </x:c>
      <x:c r="J57" t="str">
        <x:v>REFERENCE / DEMO</x:v>
      </x:c>
      <x:c r="K57" s="130" t="str">
        <x:v>https://minoti.com/collections/kids-clothing-2-8-years?page=29</x:v>
      </x:c>
      <x:c r="L57" s="130" t="str">
        <x:v>Current Minoti shorts regular price example; comparable retail reference, not an exact SKU match.</x:v>
      </x:c>
    </x:row>
    <x:row r="58" ht="14.25" customHeight="1">
      <x:c r="A58" s="13" t="s">
        <x:v>76</x:v>
      </x:c>
      <x:c r="B58" s="17" t="str">
        <x:v>Къси панталони</x:v>
      </x:c>
      <x:c r="C58" s="18" t="s">
        <x:v>34</x:v>
      </x:c>
      <x:c r="D58" s="17" t="s">
        <x:v>110</x:v>
      </x:c>
      <x:c r="E58" s="122" t="n">
        <x:v>18.9</x:v>
      </x:c>
      <x:c r="F58" s="123">
        <x:v>5.99</x:v>
      </x:c>
      <x:c r="G58" s="21"/>
      <x:c r="H58" s="22" t="s">
        <x:v>83</x:v>
      </x:c>
      <x:c r="I58" s="120" t="n">
        <x:f>IF(OR(E58="",F58="",F58&gt;=E58),"",(E58-F58)/E58)</x:f>
        <x:v>0.683068783068783</x:v>
      </x:c>
      <x:c r="J58" t="str">
        <x:v>REFERENCE / DEMO</x:v>
      </x:c>
      <x:c r="K58" s="130" t="str">
        <x:v>https://minoti.com/collections/kids-clothing-2-8-years?page=29</x:v>
      </x:c>
      <x:c r="L58" s="130" t="str">
        <x:v>Current Minoti shorts regular price example; comparable retail reference, not an exact SKU match.</x:v>
      </x:c>
    </x:row>
    <x:row r="59" ht="14.25" customHeight="1">
      <x:c r="A59" s="13" t="s">
        <x:v>76</x:v>
      </x:c>
      <x:c r="B59" s="17" t="str">
        <x:v>Блузка</x:v>
      </x:c>
      <x:c r="C59" s="18" t="s">
        <x:v>144</x:v>
      </x:c>
      <x:c r="D59" s="17" t="s">
        <x:v>80</x:v>
      </x:c>
      <x:c r="E59" s="122" t="n">
        <x:v>11.9</x:v>
      </x:c>
      <x:c r="F59" s="123">
        <x:v>4.99</x:v>
      </x:c>
      <x:c r="G59" s="21"/>
      <x:c r="H59" s="22" t="s">
        <x:v>79</x:v>
      </x:c>
      <x:c r="I59" s="120" t="n">
        <x:f>IF(OR(E59="",F59="",F59&gt;=E59),"",(E59-F59)/E59)</x:f>
        <x:v>0.5806722689075631</x:v>
      </x:c>
      <x:c r="J59" t="str">
        <x:v>REFERENCE / DEMO</x:v>
      </x:c>
      <x:c r="K59" s="130" t="str">
        <x:v>https://minoti.com/nl/collections/baby</x:v>
      </x:c>
      <x:c r="L59" s="130" t="str">
        <x:v>Current Minoti single T-shirt/top reference; comparable retail reference, not an exact SKU match.</x:v>
      </x:c>
    </x:row>
    <x:row r="60" ht="14.25" customHeight="1">
      <x:c r="A60" s="13" t="s">
        <x:v>76</x:v>
      </x:c>
      <x:c r="B60" s="17" t="str">
        <x:v>Долнище</x:v>
      </x:c>
      <x:c r="C60" s="18" t="s">
        <x:v>94</x:v>
      </x:c>
      <x:c r="D60" s="17" t="s">
        <x:v>88</x:v>
      </x:c>
      <x:c r="E60" s="122" t="n">
        <x:v>23.9</x:v>
      </x:c>
      <x:c r="F60" s="123">
        <x:v>5.99</x:v>
      </x:c>
      <x:c r="G60" s="21"/>
      <x:c r="H60" s="22" t="s">
        <x:v>95</x:v>
      </x:c>
      <x:c r="I60" s="120" t="n">
        <x:f>IF(OR(E60="",F60="",F60&gt;=E60),"",(E60-F60)/E60)</x:f>
        <x:v>0.7493723849372383</x:v>
      </x:c>
      <x:c r="J60" t="str">
        <x:v>REFERENCE / DEMO</x:v>
      </x:c>
      <x:c r="K60" s="130" t="str">
        <x:v>https://minoti.com/nl/collections/baby</x:v>
      </x:c>
      <x:c r="L60" s="130" t="str">
        <x:v>Comparable Minoti trousers/joggers reference; comparable retail reference, not an exact SKU match.</x:v>
      </x:c>
    </x:row>
    <x:row r="61" ht="14.25" customHeight="1">
      <x:c r="A61" s="13" t="s">
        <x:v>76</x:v>
      </x:c>
      <x:c r="B61" s="17" t="str">
        <x:v>Къси панталони</x:v>
      </x:c>
      <x:c r="C61" s="18" t="s">
        <x:v>34</x:v>
      </x:c>
      <x:c r="D61" s="17" t="s">
        <x:v>80</x:v>
      </x:c>
      <x:c r="E61" s="122" t="n">
        <x:v>18.9</x:v>
      </x:c>
      <x:c r="F61" s="123">
        <x:v>4.99</x:v>
      </x:c>
      <x:c r="G61" s="21"/>
      <x:c r="H61" s="22" t="s">
        <x:v>83</x:v>
      </x:c>
      <x:c r="I61" s="120" t="n">
        <x:f>IF(OR(E61="",F61="",F61&gt;=E61),"",(E61-F61)/E61)</x:f>
        <x:v>0.735978835978836</x:v>
      </x:c>
      <x:c r="J61" t="str">
        <x:v>REFERENCE / DEMO</x:v>
      </x:c>
      <x:c r="K61" s="130" t="str">
        <x:v>https://minoti.com/collections/kids-clothing-2-8-years?page=29</x:v>
      </x:c>
      <x:c r="L61" s="130" t="str">
        <x:v>Current Minoti shorts regular price example; comparable retail reference, not an exact SKU match.</x:v>
      </x:c>
    </x:row>
    <x:row r="62" ht="14.25" customHeight="1">
      <x:c r="A62" s="13" t="s">
        <x:v>76</x:v>
      </x:c>
      <x:c r="B62" s="17" t="str">
        <x:v>Яке</x:v>
      </x:c>
      <x:c r="C62" s="18" t="s">
        <x:v>145</x:v>
      </x:c>
      <x:c r="D62" s="17" t="s">
        <x:v>88</x:v>
      </x:c>
      <x:c r="E62" s="122" t="n">
        <x:v>33.9</x:v>
      </x:c>
      <x:c r="F62" s="123">
        <x:v>15.99</x:v>
      </x:c>
      <x:c r="G62" s="21"/>
      <x:c r="H62" s="22" t="s">
        <x:v>83</x:v>
      </x:c>
      <x:c r="I62" s="120" t="n">
        <x:f>IF(OR(E62="",F62="",F62&gt;=E62),"",(E62-F62)/E62)</x:f>
        <x:v>0.5283185840707963</x:v>
      </x:c>
      <x:c r="J62" t="str">
        <x:v>REFERENCE / DEMO</x:v>
      </x:c>
      <x:c r="K62" s="130" t="str">
        <x:v>https://minoti.com/nl/collections/baby</x:v>
      </x:c>
      <x:c r="L62" s="130" t="str">
        <x:v>Current Minoti light/softshell jacket regular price example; comparable retail reference, not an exact SKU match.</x:v>
      </x:c>
    </x:row>
    <x:row r="63" ht="14.25" customHeight="1">
      <x:c r="A63" s="13" t="s">
        <x:v>76</x:v>
      </x:c>
      <x:c r="B63" s="17" t="str">
        <x:v>Клин</x:v>
      </x:c>
      <x:c r="C63" s="18" t="s">
        <x:v>94</x:v>
      </x:c>
      <x:c r="D63" s="17" t="s">
        <x:v>80</x:v>
      </x:c>
      <x:c r="E63" s="122" t="n">
        <x:v>14.9</x:v>
      </x:c>
      <x:c r="F63" s="123">
        <x:v>4.99</x:v>
      </x:c>
      <x:c r="G63" s="21"/>
      <x:c r="H63" s="22" t="s">
        <x:v>95</x:v>
      </x:c>
      <x:c r="I63" s="120" t="n">
        <x:f>IF(OR(E63="",F63="",F63&gt;=E63),"",(E63-F63)/E63)</x:f>
        <x:v>0.6651006711409396</x:v>
      </x:c>
      <x:c r="J63" t="str">
        <x:v>REFERENCE / DEMO</x:v>
      </x:c>
      <x:c r="K63" s="130" t="str">
        <x:v>https://minoti.com/collections/kids-clothing-2-8-years?page=7</x:v>
      </x:c>
      <x:c r="L63" s="130" t="str">
        <x:v>Comparable Minoti leggings regular-price range; comparable retail reference, not an exact SKU match.</x:v>
      </x:c>
    </x:row>
    <x:row r="64" ht="14.25" customHeight="1">
      <x:c r="A64" s="13" t="s">
        <x:v>76</x:v>
      </x:c>
      <x:c r="B64" s="17" t="str">
        <x:v>Блуза</x:v>
      </x:c>
      <x:c r="C64" s="18" t="s">
        <x:v>146</x:v>
      </x:c>
      <x:c r="D64" s="17" t="s">
        <x:v>91</x:v>
      </x:c>
      <x:c r="E64" s="122" t="n">
        <x:v>11.9</x:v>
      </x:c>
      <x:c r="F64" s="123">
        <x:v>7</x:v>
      </x:c>
      <x:c r="G64" s="21"/>
      <x:c r="H64" s="22" t="s">
        <x:v>92</x:v>
      </x:c>
      <x:c r="I64" s="120" t="n">
        <x:f>IF(OR(E64="",F64="",F64&gt;=E64),"",(E64-F64)/E64)</x:f>
        <x:v>0.411764705882353</x:v>
      </x:c>
      <x:c r="J64" t="str">
        <x:v>REFERENCE / DEMO</x:v>
      </x:c>
      <x:c r="K64" s="130" t="str">
        <x:v>https://minoti.com/nl/collections/baby</x:v>
      </x:c>
      <x:c r="L64" s="130" t="str">
        <x:v>Current Minoti single T-shirt/top reference; comparable retail reference, not an exact SKU match.</x:v>
      </x:c>
    </x:row>
    <x:row r="65" ht="14.25" customHeight="1">
      <x:c r="A65" s="13" t="s">
        <x:v>76</x:v>
      </x:c>
      <x:c r="B65" s="17" t="str">
        <x:v>Блузка</x:v>
      </x:c>
      <x:c r="C65" s="18" t="s">
        <x:v>144</x:v>
      </x:c>
      <x:c r="D65" s="17" t="s">
        <x:v>88</x:v>
      </x:c>
      <x:c r="E65" s="122" t="n">
        <x:v>11.9</x:v>
      </x:c>
      <x:c r="F65" s="123">
        <x:v>4.99</x:v>
      </x:c>
      <x:c r="G65" s="21"/>
      <x:c r="H65" s="22" t="s">
        <x:v>95</x:v>
      </x:c>
      <x:c r="I65" s="120" t="n">
        <x:f>IF(OR(E65="",F65="",F65&gt;=E65),"",(E65-F65)/E65)</x:f>
        <x:v>0.5806722689075631</x:v>
      </x:c>
      <x:c r="J65" t="str">
        <x:v>REFERENCE / DEMO</x:v>
      </x:c>
      <x:c r="K65" s="130" t="str">
        <x:v>https://minoti.com/nl/collections/baby</x:v>
      </x:c>
      <x:c r="L65" s="130" t="str">
        <x:v>Current Minoti single T-shirt/top reference; comparable retail reference, not an exact SKU match.</x:v>
      </x:c>
    </x:row>
    <x:row r="66" ht="14.25" customHeight="1">
      <x:c r="A66" s="13" t="s">
        <x:v>76</x:v>
      </x:c>
      <x:c r="B66" s="17" t="str">
        <x:v>Къси панталони</x:v>
      </x:c>
      <x:c r="C66" s="18" t="s">
        <x:v>147</x:v>
      </x:c>
      <x:c r="D66" s="17" t="s">
        <x:v>87</x:v>
      </x:c>
      <x:c r="E66" s="122" t="n">
        <x:v>18.9</x:v>
      </x:c>
      <x:c r="F66" s="123">
        <x:v>6.99</x:v>
      </x:c>
      <x:c r="G66" s="21"/>
      <x:c r="H66" s="22" t="s">
        <x:v>83</x:v>
      </x:c>
      <x:c r="I66" s="120" t="n">
        <x:f>IF(OR(E66="",F66="",F66&gt;=E66),"",(E66-F66)/E66)</x:f>
        <x:v>0.6301587301587301</x:v>
      </x:c>
      <x:c r="J66" t="str">
        <x:v>REFERENCE / DEMO</x:v>
      </x:c>
      <x:c r="K66" s="130" t="str">
        <x:v>https://minoti.com/collections/kids-clothing-2-8-years?page=29</x:v>
      </x:c>
      <x:c r="L66" s="130" t="str">
        <x:v>Current Minoti shorts regular price example; comparable retail reference, not an exact SKU match.</x:v>
      </x:c>
    </x:row>
    <x:row r="67" ht="14.25" customHeight="1">
      <x:c r="A67" s="13" t="s">
        <x:v>76</x:v>
      </x:c>
      <x:c r="B67" s="17" t="str">
        <x:v>Яке</x:v>
      </x:c>
      <x:c r="C67" s="18" t="s">
        <x:v>148</x:v>
      </x:c>
      <x:c r="D67" s="17" t="s">
        <x:v>88</x:v>
      </x:c>
      <x:c r="E67" s="122" t="n">
        <x:v>33.9</x:v>
      </x:c>
      <x:c r="F67" s="123">
        <x:v>11.99</x:v>
      </x:c>
      <x:c r="G67" s="21"/>
      <x:c r="H67" s="22" t="s">
        <x:v>83</x:v>
      </x:c>
      <x:c r="I67" s="120" t="n">
        <x:f>IF(OR(E67="",F67="",F67&gt;=E67),"",(E67-F67)/E67)</x:f>
        <x:v>0.6463126843657816</x:v>
      </x:c>
      <x:c r="J67" t="str">
        <x:v>REFERENCE / DEMO</x:v>
      </x:c>
      <x:c r="K67" s="130" t="str">
        <x:v>https://minoti.com/nl/collections/baby</x:v>
      </x:c>
      <x:c r="L67" s="130" t="str">
        <x:v>Current Minoti light/softshell jacket regular price example; comparable retail reference, not an exact SKU match.</x:v>
      </x:c>
    </x:row>
    <x:row r="68" ht="14.25" customHeight="1">
      <x:c r="A68" s="13" t="s">
        <x:v>76</x:v>
      </x:c>
      <x:c r="B68" s="17" t="str">
        <x:v>Долнище</x:v>
      </x:c>
      <x:c r="C68" s="18" t="s">
        <x:v>71</x:v>
      </x:c>
      <x:c r="D68" s="17" t="s">
        <x:v>88</x:v>
      </x:c>
      <x:c r="E68" s="122" t="n">
        <x:v>23.9</x:v>
      </x:c>
      <x:c r="F68" s="123">
        <x:v>8.99</x:v>
      </x:c>
      <x:c r="G68" s="21"/>
      <x:c r="H68" s="22" t="s">
        <x:v>83</x:v>
      </x:c>
      <x:c r="I68" s="120" t="n">
        <x:f>IF(OR(E68="",F68="",F68&gt;=E68),"",(E68-F68)/E68)</x:f>
        <x:v>0.6238493723849372</x:v>
      </x:c>
      <x:c r="J68" t="str">
        <x:v>REFERENCE / DEMO</x:v>
      </x:c>
      <x:c r="K68" s="130" t="str">
        <x:v>https://minoti.com/nl/collections/baby</x:v>
      </x:c>
      <x:c r="L68" s="130" t="str">
        <x:v>Comparable Minoti trousers/joggers reference; comparable retail reference, not an exact SKU match.</x:v>
      </x:c>
    </x:row>
    <x:row r="69" ht="14.25" customHeight="1">
      <x:c r="A69" s="13" t="s">
        <x:v>76</x:v>
      </x:c>
      <x:c r="B69" s="17" t="str">
        <x:v>Блузка</x:v>
      </x:c>
      <x:c r="C69" s="18" t="s">
        <x:v>118</x:v>
      </x:c>
      <x:c r="D69" s="17" t="s">
        <x:v>149</x:v>
      </x:c>
      <x:c r="E69" s="122" t="n">
        <x:v>11.9</x:v>
      </x:c>
      <x:c r="F69" s="123">
        <x:v>8.99</x:v>
      </x:c>
      <x:c r="G69" s="21"/>
      <x:c r="I69" s="120" t="n">
        <x:f>IF(OR(E69="",F69="",F69&gt;=E69),"",(E69-F69)/E69)</x:f>
        <x:v>0.2445378151260504</x:v>
      </x:c>
      <x:c r="J69" t="str">
        <x:v>REFERENCE / DEMO</x:v>
      </x:c>
      <x:c r="K69" s="130" t="str">
        <x:v>https://minoti.com/nl/collections/baby</x:v>
      </x:c>
      <x:c r="L69" s="130" t="str">
        <x:v>Current Minoti single T-shirt/top reference; comparable retail reference, not an exact SKU match.</x:v>
      </x:c>
    </x:row>
    <x:row r="70" ht="14.25" customHeight="1">
      <x:c r="A70" s="13" t="s">
        <x:v>76</x:v>
      </x:c>
      <x:c r="B70" s="17" t="str">
        <x:v>Долнище</x:v>
      </x:c>
      <x:c r="C70" s="18" t="s">
        <x:v>94</x:v>
      </x:c>
      <x:c r="D70" s="17" t="s">
        <x:v>78</x:v>
      </x:c>
      <x:c r="E70" s="122" t="n">
        <x:v>23.9</x:v>
      </x:c>
      <x:c r="F70" s="123">
        <x:v>9.99</x:v>
      </x:c>
      <x:c r="G70" s="21"/>
      <x:c r="H70" s="22" t="s">
        <x:v>95</x:v>
      </x:c>
      <x:c r="I70" s="120" t="n">
        <x:f>IF(OR(E70="",F70="",F70&gt;=E70),"",(E70-F70)/E70)</x:f>
        <x:v>0.5820083682008368</x:v>
      </x:c>
      <x:c r="J70" t="str">
        <x:v>REFERENCE / DEMO</x:v>
      </x:c>
      <x:c r="K70" s="130" t="str">
        <x:v>https://minoti.com/nl/collections/baby</x:v>
      </x:c>
      <x:c r="L70" s="130" t="str">
        <x:v>Comparable Minoti trousers/joggers reference; comparable retail reference, not an exact SKU match.</x:v>
      </x:c>
    </x:row>
    <x:row r="71" ht="14.25" customHeight="1">
      <x:c r="A71" s="13" t="s">
        <x:v>76</x:v>
      </x:c>
      <x:c r="B71" s="17" t="str">
        <x:v>Долнище</x:v>
      </x:c>
      <x:c r="C71" s="18" t="s">
        <x:v>150</x:v>
      </x:c>
      <x:c r="D71" s="17" t="s">
        <x:v>88</x:v>
      </x:c>
      <x:c r="E71" s="122" t="n">
        <x:v>23.9</x:v>
      </x:c>
      <x:c r="F71" s="123">
        <x:v>8.99</x:v>
      </x:c>
      <x:c r="G71" s="21"/>
      <x:c r="H71" s="22" t="s">
        <x:v>95</x:v>
      </x:c>
      <x:c r="I71" s="120" t="n">
        <x:f>IF(OR(E71="",F71="",F71&gt;=E71),"",(E71-F71)/E71)</x:f>
        <x:v>0.6238493723849372</x:v>
      </x:c>
      <x:c r="J71" t="str">
        <x:v>REFERENCE / DEMO</x:v>
      </x:c>
      <x:c r="K71" s="130" t="str">
        <x:v>https://minoti.com/nl/collections/baby</x:v>
      </x:c>
      <x:c r="L71" s="130" t="str">
        <x:v>Comparable Minoti trousers/joggers reference; comparable retail reference, not an exact SKU match.</x:v>
      </x:c>
    </x:row>
    <x:row r="72" ht="14.25" customHeight="1">
      <x:c r="A72" s="13" t="s">
        <x:v>76</x:v>
      </x:c>
      <x:c r="B72" s="17" t="str">
        <x:v>Яке</x:v>
      </x:c>
      <x:c r="C72" s="18" t="s">
        <x:v>151</x:v>
      </x:c>
      <x:c r="D72" s="17" t="s">
        <x:v>87</x:v>
      </x:c>
      <x:c r="E72" s="122" t="n">
        <x:v>33.9</x:v>
      </x:c>
      <x:c r="F72" s="123">
        <x:v>14.99</x:v>
      </x:c>
      <x:c r="G72" s="21"/>
      <x:c r="H72" s="22" t="s">
        <x:v>79</x:v>
      </x:c>
      <x:c r="I72" s="120" t="n">
        <x:f>IF(OR(E72="",F72="",F72&gt;=E72),"",(E72-F72)/E72)</x:f>
        <x:v>0.5578171091445427</x:v>
      </x:c>
      <x:c r="J72" t="str">
        <x:v>REFERENCE / DEMO</x:v>
      </x:c>
      <x:c r="K72" s="130" t="str">
        <x:v>https://minoti.com/nl/collections/baby</x:v>
      </x:c>
      <x:c r="L72" s="130" t="str">
        <x:v>Current Minoti light/softshell jacket regular price example; comparable retail reference, not an exact SKU match.</x:v>
      </x:c>
    </x:row>
    <x:row r="73" ht="14.25" customHeight="1">
      <x:c r="A73" s="13" t="s">
        <x:v>76</x:v>
      </x:c>
      <x:c r="B73" s="17" t="str">
        <x:v>Долнище</x:v>
      </x:c>
      <x:c r="C73" s="18" t="s">
        <x:v>77</x:v>
      </x:c>
      <x:c r="D73" s="17" t="s">
        <x:v>80</x:v>
      </x:c>
      <x:c r="E73" s="122" t="n">
        <x:v>23.9</x:v>
      </x:c>
      <x:c r="F73" s="123">
        <x:v>9.99</x:v>
      </x:c>
      <x:c r="G73" s="21"/>
      <x:c r="H73" s="22" t="s">
        <x:v>126</x:v>
      </x:c>
      <x:c r="I73" s="120" t="n">
        <x:f>IF(OR(E73="",F73="",F73&gt;=E73),"",(E73-F73)/E73)</x:f>
        <x:v>0.5820083682008368</x:v>
      </x:c>
      <x:c r="J73" t="str">
        <x:v>REFERENCE / DEMO</x:v>
      </x:c>
      <x:c r="K73" s="130" t="str">
        <x:v>https://minoti.com/nl/collections/baby</x:v>
      </x:c>
      <x:c r="L73" s="130" t="str">
        <x:v>Comparable Minoti trousers/joggers reference; comparable retail reference, not an exact SKU match.</x:v>
      </x:c>
    </x:row>
    <x:row r="74" ht="14.25" customHeight="1">
      <x:c r="A74" s="13" t="s">
        <x:v>76</x:v>
      </x:c>
      <x:c r="B74" s="17" t="str">
        <x:v>Блузка</x:v>
      </x:c>
      <x:c r="C74" s="18" t="s">
        <x:v>152</x:v>
      </x:c>
      <x:c r="D74" s="17" t="s">
        <x:v>116</x:v>
      </x:c>
      <x:c r="E74" s="122" t="n">
        <x:v>11.9</x:v>
      </x:c>
      <x:c r="F74" s="123">
        <x:v>5.99</x:v>
      </x:c>
      <x:c r="G74" s="21"/>
      <x:c r="H74" s="22" t="s">
        <x:v>79</x:v>
      </x:c>
      <x:c r="I74" s="120" t="n">
        <x:f>IF(OR(E74="",F74="",F74&gt;=E74),"",(E74-F74)/E74)</x:f>
        <x:v>0.4966386554621849</x:v>
      </x:c>
      <x:c r="J74" t="str">
        <x:v>REFERENCE / DEMO</x:v>
      </x:c>
      <x:c r="K74" s="130" t="str">
        <x:v>https://minoti.com/nl/collections/baby</x:v>
      </x:c>
      <x:c r="L74" s="130" t="str">
        <x:v>Current Minoti single T-shirt/top reference; comparable retail reference, not an exact SKU match.</x:v>
      </x:c>
    </x:row>
    <x:row r="75" ht="14.25" customHeight="1">
      <x:c r="A75" s="13" t="s">
        <x:v>76</x:v>
      </x:c>
      <x:c r="B75" s="17" t="str">
        <x:v>Долнище</x:v>
      </x:c>
      <x:c r="C75" s="18" t="s">
        <x:v>153</x:v>
      </x:c>
      <x:c r="D75" s="17" t="s">
        <x:v>88</x:v>
      </x:c>
      <x:c r="E75" s="122" t="n">
        <x:v>23.9</x:v>
      </x:c>
      <x:c r="F75" s="123">
        <x:v>7.99</x:v>
      </x:c>
      <x:c r="G75" s="21"/>
      <x:c r="H75" s="22" t="s">
        <x:v>126</x:v>
      </x:c>
      <x:c r="I75" s="120" t="n">
        <x:f>IF(OR(E75="",F75="",F75&gt;=E75),"",(E75-F75)/E75)</x:f>
        <x:v>0.6656903765690376</x:v>
      </x:c>
      <x:c r="J75" t="str">
        <x:v>REFERENCE / DEMO</x:v>
      </x:c>
      <x:c r="K75" s="130" t="str">
        <x:v>https://minoti.com/nl/collections/baby</x:v>
      </x:c>
      <x:c r="L75" s="130" t="str">
        <x:v>Comparable Minoti trousers/joggers reference; comparable retail reference, not an exact SKU match.</x:v>
      </x:c>
    </x:row>
    <x:row r="76" ht="14.25" customHeight="1">
      <x:c r="A76" s="13" t="s">
        <x:v>76</x:v>
      </x:c>
      <x:c r="B76" s="17" t="str">
        <x:v>Дънки</x:v>
      </x:c>
      <x:c r="C76" s="18" t="s">
        <x:v>48</x:v>
      </x:c>
      <x:c r="D76" s="17" t="s">
        <x:v>87</x:v>
      </x:c>
      <x:c r="E76" s="122" t="n">
        <x:v>23.9</x:v>
      </x:c>
      <x:c r="F76" s="123">
        <x:v>9.99</x:v>
      </x:c>
      <x:c r="G76" s="21"/>
      <x:c r="H76" s="22" t="s">
        <x:v>83</x:v>
      </x:c>
      <x:c r="I76" s="120" t="n">
        <x:f>IF(OR(E76="",F76="",F76&gt;=E76),"",(E76-F76)/E76)</x:f>
        <x:v>0.5820083682008368</x:v>
      </x:c>
      <x:c r="J76" t="str">
        <x:v>REFERENCE / DEMO</x:v>
      </x:c>
      <x:c r="K76" s="130" t="str">
        <x:v>https://www.ozone.ro/brand-minoti/</x:v>
      </x:c>
      <x:c r="L76" s="130" t="str">
        <x:v>Ozone Minoti jeans SRP/category reference; comparable retail reference, not an exact SKU match.</x:v>
      </x:c>
    </x:row>
    <x:row r="77" ht="14.25" customHeight="1">
      <x:c r="A77" s="13" t="s">
        <x:v>76</x:v>
      </x:c>
      <x:c r="B77" s="17" t="str">
        <x:v>Тънко яке</x:v>
      </x:c>
      <x:c r="C77" s="18" t="s">
        <x:v>154</x:v>
      </x:c>
      <x:c r="D77" s="17" t="s">
        <x:v>80</x:v>
      </x:c>
      <x:c r="E77" s="122" t="n">
        <x:v>33.9</x:v>
      </x:c>
      <x:c r="F77" s="123">
        <x:v>12.99</x:v>
      </x:c>
      <x:c r="G77" s="21"/>
      <x:c r="H77" s="22" t="s">
        <x:v>83</x:v>
      </x:c>
      <x:c r="I77" s="120" t="n">
        <x:f>IF(OR(E77="",F77="",F77&gt;=E77),"",(E77-F77)/E77)</x:f>
        <x:v>0.6168141592920353</x:v>
      </x:c>
      <x:c r="J77" t="str">
        <x:v>REFERENCE / DEMO</x:v>
      </x:c>
      <x:c r="K77" s="130" t="str">
        <x:v>https://minoti.com/nl/collections/baby</x:v>
      </x:c>
      <x:c r="L77" s="130" t="str">
        <x:v>Current Minoti light/softshell jacket regular price example; comparable retail reference, not an exact SKU match.</x:v>
      </x:c>
    </x:row>
    <x:row r="78" ht="14.25" customHeight="1">
      <x:c r="A78" s="13" t="s">
        <x:v>76</x:v>
      </x:c>
      <x:c r="B78" s="17" t="str">
        <x:v>Комплект с динозавър</x:v>
      </x:c>
      <x:c r="C78" s="18" t="s">
        <x:v>38</x:v>
      </x:c>
      <x:c r="D78" s="17" t="s">
        <x:v>136</x:v>
      </x:c>
      <x:c r="E78" s="122" t="n">
        <x:v>26.9</x:v>
      </x:c>
      <x:c r="F78" s="123">
        <x:v>8.99</x:v>
      </x:c>
      <x:c r="G78" s="21"/>
      <x:c r="H78" s="22" t="s">
        <x:v>83</x:v>
      </x:c>
      <x:c r="I78" s="120" t="n">
        <x:f>IF(OR(E78="",F78="",F78&gt;=E78),"",(E78-F78)/E78)</x:f>
        <x:v>0.6657992565055761</x:v>
      </x:c>
      <x:c r="J78" t="str">
        <x:v>REFERENCE / DEMO</x:v>
      </x:c>
      <x:c r="K78" s="130" t="str">
        <x:v>https://minoti.com/collections/baby</x:v>
      </x:c>
      <x:c r="L78" s="130" t="str">
        <x:v>Comparable Minoti matching set; comparable retail reference, not an exact SKU match.</x:v>
      </x:c>
    </x:row>
    <x:row r="79" ht="14.25" customHeight="1">
      <x:c r="A79" s="13" t="s">
        <x:v>76</x:v>
      </x:c>
      <x:c r="B79" s="17" t="str">
        <x:v>3 чифта чорапи</x:v>
      </x:c>
      <x:c r="C79" s="18"/>
      <x:c r="D79" s="17" t="s">
        <x:v>155</x:v>
      </x:c>
      <x:c r="E79" s="122" t="n">
        <x:v>6.9</x:v>
      </x:c>
      <x:c r="F79" s="123">
        <x:v>2.99</x:v>
      </x:c>
      <x:c r="G79" s="21"/>
      <x:c r="H79" s="22" t="s">
        <x:v>156</x:v>
      </x:c>
      <x:c r="I79" s="120" t="n">
        <x:f>IF(OR(E79="",F79="",F79&gt;=E79),"",(E79-F79)/E79)</x:f>
        <x:v>0.5666666666666667</x:v>
      </x:c>
      <x:c r="J79" t="str">
        <x:v>REFERENCE / DEMO</x:v>
      </x:c>
      <x:c r="K79" s="130" t="str">
        <x:v>https://minoti.com/products/boys-cotton-socks-blue-13sock3</x:v>
      </x:c>
      <x:c r="L79" s="130" t="str">
        <x:v>3-pack socks regular price reference; comparable retail reference, not an exact SKU match.</x:v>
      </x:c>
    </x:row>
    <x:row r="80" ht="14.25" customHeight="1">
      <x:c r="A80" s="13" t="s">
        <x:v>76</x:v>
      </x:c>
      <x:c r="B80" s="17" t="str">
        <x:v>Блузка</x:v>
      </x:c>
      <x:c r="C80" s="18" t="s">
        <x:v>152</x:v>
      </x:c>
      <x:c r="D80" s="17" t="s">
        <x:v>80</x:v>
      </x:c>
      <x:c r="E80" s="122" t="n">
        <x:v>11.9</x:v>
      </x:c>
      <x:c r="F80" s="123">
        <x:v>4.99</x:v>
      </x:c>
      <x:c r="G80" s="21"/>
      <x:c r="H80" s="22" t="s">
        <x:v>95</x:v>
      </x:c>
      <x:c r="I80" s="120" t="n">
        <x:f>IF(OR(E80="",F80="",F80&gt;=E80),"",(E80-F80)/E80)</x:f>
        <x:v>0.5806722689075631</x:v>
      </x:c>
      <x:c r="J80" t="str">
        <x:v>REFERENCE / DEMO</x:v>
      </x:c>
      <x:c r="K80" s="130" t="str">
        <x:v>https://minoti.com/nl/collections/baby</x:v>
      </x:c>
      <x:c r="L80" s="130" t="str">
        <x:v>Current Minoti single T-shirt/top reference; comparable retail reference, not an exact SKU match.</x:v>
      </x:c>
    </x:row>
    <x:row r="81" ht="14.25" customHeight="1">
      <x:c r="A81" s="13" t="s">
        <x:v>76</x:v>
      </x:c>
      <x:c r="B81" s="47" t="str">
        <x:v>Рокля</x:v>
      </x:c>
      <x:c r="C81" s="18" t="s">
        <x:v>157</x:v>
      </x:c>
      <x:c r="D81" s="17" t="s">
        <x:v>91</x:v>
      </x:c>
      <x:c r="E81" s="122" t="n">
        <x:v>23.9</x:v>
      </x:c>
      <x:c r="F81" s="123">
        <x:v>4.99</x:v>
      </x:c>
      <x:c r="G81" s="21"/>
      <x:c r="H81" s="22" t="s">
        <x:v>95</x:v>
      </x:c>
      <x:c r="I81" s="120" t="n">
        <x:f>IF(OR(E81="",F81="",F81&gt;=E81),"",(E81-F81)/E81)</x:f>
        <x:v>0.7912133891213388</x:v>
      </x:c>
      <x:c r="J81" t="str">
        <x:v>REFERENCE / DEMO</x:v>
      </x:c>
      <x:c r="K81" s="130" t="str">
        <x:v>https://minoti.com/nl/collections/baby</x:v>
      </x:c>
      <x:c r="L81" s="130" t="str">
        <x:v>Current Minoti casual dress reference; comparable retail reference, not an exact SKU match.</x:v>
      </x:c>
    </x:row>
    <x:row r="82" ht="14.25" customHeight="1">
      <x:c r="A82" s="13" t="s">
        <x:v>76</x:v>
      </x:c>
      <x:c r="B82" s="17" t="str">
        <x:v>3 чифта чорапи</x:v>
      </x:c>
      <x:c r="C82" s="18"/>
      <x:c r="D82" s="17" t="s">
        <x:v>138</x:v>
      </x:c>
      <x:c r="E82" s="122" t="n">
        <x:v>6.9</x:v>
      </x:c>
      <x:c r="F82" s="123">
        <x:v>2.99</x:v>
      </x:c>
      <x:c r="G82" s="21"/>
      <x:c r="H82" s="22" t="s">
        <x:v>158</x:v>
      </x:c>
      <x:c r="I82" s="120" t="n">
        <x:f>IF(OR(E82="",F82="",F82&gt;=E82),"",(E82-F82)/E82)</x:f>
        <x:v>0.5666666666666667</x:v>
      </x:c>
      <x:c r="J82" t="str">
        <x:v>REFERENCE / DEMO</x:v>
      </x:c>
      <x:c r="K82" s="130" t="str">
        <x:v>https://minoti.com/products/boys-cotton-socks-blue-13sock3</x:v>
      </x:c>
      <x:c r="L82" s="130" t="str">
        <x:v>3-pack socks regular price reference; comparable retail reference, not an exact SKU match.</x:v>
      </x:c>
    </x:row>
    <x:row r="83" ht="14.25" customHeight="1">
      <x:c r="A83" s="13" t="s">
        <x:v>76</x:v>
      </x:c>
      <x:c r="B83" s="47" t="str">
        <x:v>Блузка</x:v>
      </x:c>
      <x:c r="C83" s="18" t="s">
        <x:v>159</x:v>
      </x:c>
      <x:c r="D83" s="17" t="s">
        <x:v>87</x:v>
      </x:c>
      <x:c r="E83" s="122" t="n">
        <x:v>11.9</x:v>
      </x:c>
      <x:c r="F83" s="123">
        <x:v>6.99</x:v>
      </x:c>
      <x:c r="G83" s="21"/>
      <x:c r="H83" s="22" t="s">
        <x:v>83</x:v>
      </x:c>
      <x:c r="I83" s="120" t="n">
        <x:f>IF(OR(E83="",F83="",F83&gt;=E83),"",(E83-F83)/E83)</x:f>
        <x:v>0.4126050420168067</x:v>
      </x:c>
      <x:c r="J83" t="str">
        <x:v>REFERENCE / DEMO</x:v>
      </x:c>
      <x:c r="K83" s="130" t="str">
        <x:v>https://minoti.com/nl/collections/baby</x:v>
      </x:c>
      <x:c r="L83" s="130" t="str">
        <x:v>Current Minoti single T-shirt/top reference; comparable retail reference, not an exact SKU match.</x:v>
      </x:c>
    </x:row>
    <x:row r="84" ht="14.25" customHeight="1">
      <x:c r="A84" s="13" t="s">
        <x:v>76</x:v>
      </x:c>
      <x:c r="B84" s="17" t="str">
        <x:v>Суитчър</x:v>
      </x:c>
      <x:c r="C84" s="18" t="s">
        <x:v>160</x:v>
      </x:c>
      <x:c r="D84" s="17" t="s">
        <x:v>78</x:v>
      </x:c>
      <x:c r="E84" s="122" t="n">
        <x:v>18.9</x:v>
      </x:c>
      <x:c r="F84" s="123">
        <x:v>12.99</x:v>
      </x:c>
      <x:c r="G84" s="21"/>
      <x:c r="H84" s="22" t="s">
        <x:v>126</x:v>
      </x:c>
      <x:c r="I84" s="120" t="n">
        <x:f>IF(OR(E84="",F84="",F84&gt;=E84),"",(E84-F84)/E84)</x:f>
        <x:v>0.31269841269841264</x:v>
      </x:c>
      <x:c r="J84" t="str">
        <x:v>REFERENCE / DEMO</x:v>
      </x:c>
      <x:c r="K84" s="130" t="str">
        <x:v>https://minoti.com/collections/kids-clothing-2-8-years?page=29</x:v>
      </x:c>
      <x:c r="L84" s="130" t="str">
        <x:v>Comparable Minoti sweatshirt/hoodie reference; comparable retail reference, not an exact SKU match.</x:v>
      </x:c>
    </x:row>
    <x:row r="85" ht="14.25" customHeight="1">
      <x:c r="A85" s="13" t="s">
        <x:v>76</x:v>
      </x:c>
      <x:c r="B85" s="17" t="str">
        <x:v>Блузка</x:v>
      </x:c>
      <x:c r="C85" s="18" t="s">
        <x:v>161</x:v>
      </x:c>
      <x:c r="D85" s="17" t="s">
        <x:v>80</x:v>
      </x:c>
      <x:c r="E85" s="122" t="n">
        <x:v>11.9</x:v>
      </x:c>
      <x:c r="F85" s="123">
        <x:v>4.99</x:v>
      </x:c>
      <x:c r="G85" s="21"/>
      <x:c r="H85" s="22" t="s">
        <x:v>95</x:v>
      </x:c>
      <x:c r="I85" s="120" t="n">
        <x:f>IF(OR(E85="",F85="",F85&gt;=E85),"",(E85-F85)/E85)</x:f>
        <x:v>0.5806722689075631</x:v>
      </x:c>
      <x:c r="J85" t="str">
        <x:v>REFERENCE / DEMO</x:v>
      </x:c>
      <x:c r="K85" s="130" t="str">
        <x:v>https://minoti.com/nl/collections/baby</x:v>
      </x:c>
      <x:c r="L85" s="130" t="str">
        <x:v>Current Minoti single T-shirt/top reference; comparable retail reference, not an exact SKU match.</x:v>
      </x:c>
    </x:row>
    <x:row r="86" ht="14.25" customHeight="1">
      <x:c r="A86" s="13" t="s">
        <x:v>76</x:v>
      </x:c>
      <x:c r="B86" s="17" t="str">
        <x:v>Клин</x:v>
      </x:c>
      <x:c r="C86" s="18" t="s">
        <x:v>162</x:v>
      </x:c>
      <x:c r="D86" s="17" t="s">
        <x:v>87</x:v>
      </x:c>
      <x:c r="E86" s="122" t="n">
        <x:v>14.9</x:v>
      </x:c>
      <x:c r="F86" s="123">
        <x:v>4.99</x:v>
      </x:c>
      <x:c r="G86" s="21"/>
      <x:c r="H86" s="22" t="s">
        <x:v>95</x:v>
      </x:c>
      <x:c r="I86" s="120" t="n">
        <x:f>IF(OR(E86="",F86="",F86&gt;=E86),"",(E86-F86)/E86)</x:f>
        <x:v>0.6651006711409396</x:v>
      </x:c>
      <x:c r="J86" t="str">
        <x:v>REFERENCE / DEMO</x:v>
      </x:c>
      <x:c r="K86" s="130" t="str">
        <x:v>https://minoti.com/collections/kids-clothing-2-8-years?page=7</x:v>
      </x:c>
      <x:c r="L86" s="130" t="str">
        <x:v>Comparable Minoti leggings regular-price range; comparable retail reference, not an exact SKU match.</x:v>
      </x:c>
    </x:row>
    <x:row r="87" ht="14.25" customHeight="1">
      <x:c r="A87" s="13" t="s">
        <x:v>76</x:v>
      </x:c>
      <x:c r="B87" s="17" t="str">
        <x:v>Блузка</x:v>
      </x:c>
      <x:c r="C87" s="18" t="s">
        <x:v>163</x:v>
      </x:c>
      <x:c r="D87" s="17" t="str">
        <x:v>18/24 месеца</x:v>
      </x:c>
      <x:c r="E87" s="122" t="n">
        <x:v>11.9</x:v>
      </x:c>
      <x:c r="F87" s="123">
        <x:v>4.99</x:v>
      </x:c>
      <x:c r="G87" s="21"/>
      <x:c r="H87" s="22" t="s">
        <x:v>126</x:v>
      </x:c>
      <x:c r="I87" s="120" t="n">
        <x:f>IF(OR(E87="",F87="",F87&gt;=E87),"",(E87-F87)/E87)</x:f>
        <x:v>0.5806722689075631</x:v>
      </x:c>
      <x:c r="J87" t="str">
        <x:v>REFERENCE / DEMO</x:v>
      </x:c>
      <x:c r="K87" s="130" t="str">
        <x:v>https://minoti.com/nl/collections/baby</x:v>
      </x:c>
      <x:c r="L87" s="130" t="str">
        <x:v>Current Minoti single T-shirt/top reference; comparable retail reference, not an exact SKU match.</x:v>
      </x:c>
    </x:row>
    <x:row r="88" ht="14.25" customHeight="1">
      <x:c r="A88" s="13" t="s">
        <x:v>76</x:v>
      </x:c>
      <x:c r="B88" s="17" t="str">
        <x:v>Рокля</x:v>
      </x:c>
      <x:c r="C88" s="18" t="s">
        <x:v>36</x:v>
      </x:c>
      <x:c r="D88" s="17" t="s">
        <x:v>80</x:v>
      </x:c>
      <x:c r="E88" s="122" t="n">
        <x:v>23.9</x:v>
      </x:c>
      <x:c r="F88" s="123">
        <x:v>4.99</x:v>
      </x:c>
      <x:c r="G88" s="21"/>
      <x:c r="H88" s="22" t="s">
        <x:v>95</x:v>
      </x:c>
      <x:c r="I88" s="120" t="n">
        <x:f>IF(OR(E88="",F88="",F88&gt;=E88),"",(E88-F88)/E88)</x:f>
        <x:v>0.7912133891213388</x:v>
      </x:c>
      <x:c r="J88" t="str">
        <x:v>REFERENCE / DEMO</x:v>
      </x:c>
      <x:c r="K88" s="130" t="str">
        <x:v>https://minoti.com/nl/collections/baby</x:v>
      </x:c>
      <x:c r="L88" s="130" t="str">
        <x:v>Current Minoti casual dress reference; comparable retail reference, not an exact SKU match.</x:v>
      </x:c>
    </x:row>
    <x:row r="89" ht="14.25" customHeight="1">
      <x:c r="A89" s="13" t="s">
        <x:v>76</x:v>
      </x:c>
      <x:c r="B89" s="17" t="str">
        <x:v>Блузка</x:v>
      </x:c>
      <x:c r="C89" s="18" t="s">
        <x:v>164</x:v>
      </x:c>
      <x:c r="D89" s="17" t="s">
        <x:v>87</x:v>
      </x:c>
      <x:c r="E89" s="122" t="n">
        <x:v>11.9</x:v>
      </x:c>
      <x:c r="F89" s="123">
        <x:v>6.99</x:v>
      </x:c>
      <x:c r="G89" s="21"/>
      <x:c r="H89" s="22" t="s">
        <x:v>95</x:v>
      </x:c>
      <x:c r="I89" s="120" t="n">
        <x:f>IF(OR(E89="",F89="",F89&gt;=E89),"",(E89-F89)/E89)</x:f>
        <x:v>0.4126050420168067</x:v>
      </x:c>
      <x:c r="J89" t="str">
        <x:v>REFERENCE / DEMO</x:v>
      </x:c>
      <x:c r="K89" s="130" t="str">
        <x:v>https://minoti.com/nl/collections/baby</x:v>
      </x:c>
      <x:c r="L89" s="130" t="str">
        <x:v>Current Minoti single T-shirt/top reference; comparable retail reference, not an exact SKU match.</x:v>
      </x:c>
    </x:row>
    <x:row r="90" ht="14.25" customHeight="1">
      <x:c r="A90" s="13" t="s">
        <x:v>76</x:v>
      </x:c>
      <x:c r="B90" s="17" t="str">
        <x:v>Рокля</x:v>
      </x:c>
      <x:c r="C90" s="18" t="s">
        <x:v>165</x:v>
      </x:c>
      <x:c r="D90" s="17" t="s">
        <x:v>87</x:v>
      </x:c>
      <x:c r="E90" s="122" t="n">
        <x:v>23.9</x:v>
      </x:c>
      <x:c r="F90" s="123">
        <x:v>6.99</x:v>
      </x:c>
      <x:c r="G90" s="21"/>
      <x:c r="H90" s="22" t="s">
        <x:v>95</x:v>
      </x:c>
      <x:c r="I90" s="120" t="n">
        <x:f>IF(OR(E90="",F90="",F90&gt;=E90),"",(E90-F90)/E90)</x:f>
        <x:v>0.7075313807531379</x:v>
      </x:c>
      <x:c r="J90" t="str">
        <x:v>REFERENCE / DEMO</x:v>
      </x:c>
      <x:c r="K90" s="130" t="str">
        <x:v>https://minoti.com/nl/collections/baby</x:v>
      </x:c>
      <x:c r="L90" s="130" t="str">
        <x:v>Current Minoti casual dress reference; comparable retail reference, not an exact SKU match.</x:v>
      </x:c>
    </x:row>
    <x:row r="91" ht="14.25" customHeight="1">
      <x:c r="A91" s="13" t="s">
        <x:v>76</x:v>
      </x:c>
      <x:c r="B91" s="17" t="str">
        <x:v>Долнище</x:v>
      </x:c>
      <x:c r="C91" s="18" t="s">
        <x:v>166</x:v>
      </x:c>
      <x:c r="D91" s="17" t="s">
        <x:v>87</x:v>
      </x:c>
      <x:c r="E91" s="122" t="n">
        <x:v>23.9</x:v>
      </x:c>
      <x:c r="F91" s="123">
        <x:v>9.99</x:v>
      </x:c>
      <x:c r="G91" s="21"/>
      <x:c r="H91" s="22" t="s">
        <x:v>126</x:v>
      </x:c>
      <x:c r="I91" s="120" t="n">
        <x:f>IF(OR(E91="",F91="",F91&gt;=E91),"",(E91-F91)/E91)</x:f>
        <x:v>0.5820083682008368</x:v>
      </x:c>
      <x:c r="J91" t="str">
        <x:v>REFERENCE / DEMO</x:v>
      </x:c>
      <x:c r="K91" s="130" t="str">
        <x:v>https://minoti.com/nl/collections/baby</x:v>
      </x:c>
      <x:c r="L91" s="130" t="str">
        <x:v>Comparable Minoti trousers/joggers reference; comparable retail reference, not an exact SKU match.</x:v>
      </x:c>
    </x:row>
    <x:row r="92" ht="14.25" customHeight="1">
      <x:c r="A92" s="13" t="s">
        <x:v>76</x:v>
      </x:c>
      <x:c r="B92" s="17" t="str">
        <x:v>Блузка</x:v>
      </x:c>
      <x:c r="C92" s="18" t="s">
        <x:v>163</x:v>
      </x:c>
      <x:c r="D92" s="17" t="s">
        <x:v>80</x:v>
      </x:c>
      <x:c r="E92" s="122" t="n">
        <x:v>11.9</x:v>
      </x:c>
      <x:c r="F92" s="123">
        <x:v>4.99</x:v>
      </x:c>
      <x:c r="G92" s="21"/>
      <x:c r="H92" s="22" t="s">
        <x:v>126</x:v>
      </x:c>
      <x:c r="I92" s="120" t="n">
        <x:f>IF(OR(E92="",F92="",F92&gt;=E92),"",(E92-F92)/E92)</x:f>
        <x:v>0.5806722689075631</x:v>
      </x:c>
      <x:c r="J92" t="str">
        <x:v>REFERENCE / DEMO</x:v>
      </x:c>
      <x:c r="K92" s="130" t="str">
        <x:v>https://minoti.com/nl/collections/baby</x:v>
      </x:c>
      <x:c r="L92" s="130" t="str">
        <x:v>Current Minoti single T-shirt/top reference; comparable retail reference, not an exact SKU match.</x:v>
      </x:c>
    </x:row>
    <x:row r="93" ht="14.25" customHeight="1">
      <x:c r="A93" s="13" t="s">
        <x:v>76</x:v>
      </x:c>
      <x:c r="B93" s="17" t="str">
        <x:v>Къса блузка</x:v>
      </x:c>
      <x:c r="C93" s="18" t="s">
        <x:v>167</x:v>
      </x:c>
      <x:c r="D93" s="17" t="s">
        <x:v>91</x:v>
      </x:c>
      <x:c r="E93" s="122" t="n">
        <x:v>11.9</x:v>
      </x:c>
      <x:c r="F93" s="123">
        <x:v>4.99</x:v>
      </x:c>
      <x:c r="G93" s="21"/>
      <x:c r="H93" s="22" t="s">
        <x:v>83</x:v>
      </x:c>
      <x:c r="I93" s="120" t="n">
        <x:f>IF(OR(E93="",F93="",F93&gt;=E93),"",(E93-F93)/E93)</x:f>
        <x:v>0.5806722689075631</x:v>
      </x:c>
      <x:c r="J93" t="str">
        <x:v>REFERENCE / DEMO</x:v>
      </x:c>
      <x:c r="K93" s="130" t="str">
        <x:v>https://minoti.com/nl/collections/baby</x:v>
      </x:c>
      <x:c r="L93" s="130" t="str">
        <x:v>Current Minoti single T-shirt/top reference; comparable retail reference, not an exact SKU match.</x:v>
      </x:c>
    </x:row>
    <x:row r="94" ht="14.25" customHeight="1">
      <x:c r="A94" s="13" t="s">
        <x:v>76</x:v>
      </x:c>
      <x:c r="B94" s="17" t="str">
        <x:v>Горнище</x:v>
      </x:c>
      <x:c r="C94" s="18" t="s">
        <x:v>148</x:v>
      </x:c>
      <x:c r="D94" s="17" t="s">
        <x:v>87</x:v>
      </x:c>
      <x:c r="E94" s="122" t="n">
        <x:v>18.9</x:v>
      </x:c>
      <x:c r="F94" s="123">
        <x:v>9.99</x:v>
      </x:c>
      <x:c r="G94" s="21"/>
      <x:c r="H94" s="22" t="s">
        <x:v>126</x:v>
      </x:c>
      <x:c r="I94" s="120" t="n">
        <x:f>IF(OR(E94="",F94="",F94&gt;=E94),"",(E94-F94)/E94)</x:f>
        <x:v>0.47142857142857136</x:v>
      </x:c>
      <x:c r="J94" t="str">
        <x:v>REFERENCE / DEMO</x:v>
      </x:c>
      <x:c r="K94" s="130" t="str">
        <x:v>https://minoti.com/collections/kids-clothing-2-8-years?page=29</x:v>
      </x:c>
      <x:c r="L94" s="130" t="str">
        <x:v>Comparable Minoti sweatshirt/hoodie reference; comparable retail reference, not an exact SKU match.</x:v>
      </x:c>
    </x:row>
    <x:row r="95" ht="14.25" customHeight="1">
      <x:c r="A95" s="13" t="s">
        <x:v>76</x:v>
      </x:c>
      <x:c r="B95" s="17" t="str">
        <x:v>5 чифта чорапи</x:v>
      </x:c>
      <x:c r="C95" s="18"/>
      <x:c r="D95" s="17" t="s">
        <x:v>155</x:v>
      </x:c>
      <x:c r="E95" s="122" t="n">
        <x:v>11.9</x:v>
      </x:c>
      <x:c r="F95" s="123">
        <x:v>4.99</x:v>
      </x:c>
      <x:c r="G95" s="21"/>
      <x:c r="H95" s="22" t="s">
        <x:v>168</x:v>
      </x:c>
      <x:c r="I95" s="120" t="n">
        <x:f>IF(OR(E95="",F95="",F95&gt;=E95),"",(E95-F95)/E95)</x:f>
        <x:v>0.5806722689075631</x:v>
      </x:c>
      <x:c r="J95" t="str">
        <x:v>REFERENCE / DEMO</x:v>
      </x:c>
      <x:c r="K95" s="130" t="str">
        <x:v>https://minoti.com/collections/baby-accessories</x:v>
      </x:c>
      <x:c r="L95" s="130" t="str">
        <x:v>5-pack socks reference; comparable retail reference, not an exact SKU match.</x:v>
      </x:c>
    </x:row>
    <x:row r="96" ht="14.25" customHeight="1">
      <x:c r="A96" s="13" t="s">
        <x:v>76</x:v>
      </x:c>
      <x:c r="B96" s="28" t="str">
        <x:v>Блузка</x:v>
      </x:c>
      <x:c r="C96" s="18" t="s">
        <x:v>152</x:v>
      </x:c>
      <x:c r="D96" s="28" t="s">
        <x:v>88</x:v>
      </x:c>
      <x:c r="E96" s="122" t="n">
        <x:v>11.9</x:v>
      </x:c>
      <x:c r="F96" s="125">
        <x:v>4.99</x:v>
      </x:c>
      <x:c r="G96" s="31"/>
      <x:c r="H96" s="22" t="s">
        <x:v>95</x:v>
      </x:c>
      <x:c r="I96" s="120" t="n">
        <x:f>IF(OR(E96="",F96="",F96&gt;=E96),"",(E96-F96)/E96)</x:f>
        <x:v>0.5806722689075631</x:v>
      </x:c>
      <x:c r="J96" t="str">
        <x:v>REFERENCE / DEMO</x:v>
      </x:c>
      <x:c r="K96" s="130" t="str">
        <x:v>https://minoti.com/nl/collections/baby</x:v>
      </x:c>
      <x:c r="L96" s="130" t="str">
        <x:v>Current Minoti single T-shirt/top reference; comparable retail reference, not an exact SKU match.</x:v>
      </x:c>
    </x:row>
    <x:row r="97" ht="14.25" customHeight="1">
      <x:c r="A97" s="36" t="s">
        <x:v>76</x:v>
      </x:c>
      <x:c r="B97" s="37" t="str">
        <x:v>Бански</x:v>
      </x:c>
      <x:c r="C97" s="38" t="s">
        <x:v>10</x:v>
      </x:c>
      <x:c r="D97" s="37" t="s">
        <x:v>141</x:v>
      </x:c>
      <x:c r="E97" s="136" t="n">
        <x:v>18.9</x:v>
      </x:c>
      <x:c r="F97" s="137">
        <x:v>9.99</x:v>
      </x:c>
      <x:c r="G97" s="37"/>
      <x:c r="H97" s="22" t="s">
        <x:v>95</x:v>
      </x:c>
      <x:c r="I97" s="120" t="n">
        <x:f>IF(OR(E97="",F97="",F97&gt;=E97),"",(E97-F97)/E97)</x:f>
        <x:v>0.47142857142857136</x:v>
      </x:c>
      <x:c r="J97" t="str">
        <x:v>REFERENCE / DEMO</x:v>
      </x:c>
      <x:c r="K97" s="130" t="str">
        <x:v>https://minoti.com/collections/minoti-kids-swimwear?page=2</x:v>
      </x:c>
      <x:c r="L97" s="130" t="str">
        <x:v>Current Minoti swimsuit regular price example; comparable retail reference, not an exact SKU match.</x:v>
      </x:c>
    </x:row>
    <x:row r="98" ht="14.25" customHeight="1">
      <x:c r="A98" s="53" t="str">
        <x:v>TOTAL SELL PRICE</x:v>
      </x:c>
      <x:c r="B98" s="54"/>
      <x:c r="C98" s="54"/>
      <x:c r="D98" s="54"/>
      <x:c r="E98" s="54" t="n">
        <x:f>SUM(E3:E97)</x:f>
        <x:v>1898.1900000000037</x:v>
      </x:c>
      <x:c r="F98" s="40" t="n">
        <x:f>SUM(F3:F97)</x:f>
        <x:v>841.0600000000007</x:v>
      </x:c>
      <x:c r="G98" s="11"/>
      <x:c r="H98" s="33"/>
      <x:c r="I98" s="33"/>
      <x:c r="J98" s="33"/>
      <x:c r="K98" s="33"/>
    </x:row>
    <x:row r="99" ht="14.25" customHeight="1">
      <x:c r="A99" s="33"/>
      <x:c r="B99" s="33"/>
      <x:c r="C99" s="33"/>
      <x:c r="D99" s="33"/>
      <x:c r="E99" s="33"/>
      <x:c r="F99" s="41"/>
      <x:c r="G99" s="33"/>
      <x:c r="H99" s="33"/>
      <x:c r="I99" s="33"/>
      <x:c r="J99" s="33"/>
      <x:c r="K99" s="33"/>
    </x:row>
    <x:row r="100" ht="14.25" customHeight="1">
      <x:c r="A100" s="33"/>
      <x:c r="B100" s="33"/>
      <x:c r="C100" s="33"/>
      <x:c r="D100" s="33"/>
      <x:c r="E100" s="33"/>
      <x:c r="F100" s="41"/>
      <x:c r="G100" s="33"/>
      <x:c r="H100" s="33"/>
      <x:c r="I100" s="33"/>
      <x:c r="J100" s="33"/>
      <x:c r="K100" s="33"/>
    </x:row>
    <x:row r="101" ht="14.25" customHeight="1">
      <x:c r="A101" s="33"/>
      <x:c r="B101" s="33"/>
      <x:c r="C101" s="33"/>
      <x:c r="D101" s="33"/>
      <x:c r="E101" s="33"/>
      <x:c r="F101" s="41"/>
      <x:c r="G101" s="33"/>
      <x:c r="H101" s="33"/>
      <x:c r="I101" s="33"/>
      <x:c r="J101" s="33"/>
      <x:c r="K101" s="33"/>
    </x:row>
    <x:row r="102" ht="14.25" customHeight="1">
      <x:c r="A102" s="33"/>
      <x:c r="B102" s="33"/>
      <x:c r="C102" s="33"/>
      <x:c r="D102" s="33"/>
      <x:c r="E102" s="33"/>
      <x:c r="F102" s="41"/>
      <x:c r="G102" s="33"/>
      <x:c r="H102" s="33"/>
      <x:c r="I102" s="33"/>
      <x:c r="J102" s="33"/>
      <x:c r="K102" s="33"/>
    </x:row>
    <x:row r="103" ht="14.25" customHeight="1">
      <x:c r="A103" s="33"/>
      <x:c r="B103" s="33"/>
      <x:c r="C103" s="33"/>
      <x:c r="D103" s="33"/>
      <x:c r="E103" s="33"/>
      <x:c r="F103" s="41"/>
      <x:c r="G103" s="33"/>
      <x:c r="H103" s="33"/>
      <x:c r="I103" s="33"/>
      <x:c r="J103" s="33"/>
      <x:c r="K103" s="33"/>
    </x:row>
    <x:row r="104" ht="14.25" customHeight="1">
      <x:c r="A104" s="33"/>
      <x:c r="B104" s="33"/>
      <x:c r="C104" s="33"/>
      <x:c r="D104" s="33"/>
      <x:c r="E104" s="33"/>
      <x:c r="F104" s="41"/>
      <x:c r="G104" s="33"/>
      <x:c r="H104" s="33"/>
      <x:c r="I104" s="33"/>
      <x:c r="J104" s="33"/>
      <x:c r="K104" s="33"/>
    </x:row>
    <x:row r="105" ht="14.25" customHeight="1">
      <x:c r="A105" s="33"/>
      <x:c r="B105" s="33"/>
      <x:c r="C105" s="33"/>
      <x:c r="D105" s="33"/>
      <x:c r="E105" s="33"/>
      <x:c r="F105" s="41"/>
      <x:c r="G105" s="33"/>
      <x:c r="H105" s="33"/>
      <x:c r="I105" s="33"/>
      <x:c r="J105" s="33"/>
      <x:c r="K105" s="33"/>
    </x:row>
    <x:row r="106" ht="14.25" customHeight="1">
      <x:c r="A106" s="33"/>
      <x:c r="B106" s="33"/>
      <x:c r="C106" s="33"/>
      <x:c r="D106" s="33"/>
      <x:c r="E106" s="33"/>
      <x:c r="F106" s="41"/>
      <x:c r="G106" s="33"/>
      <x:c r="H106" s="33"/>
      <x:c r="I106" s="33"/>
      <x:c r="J106" s="33"/>
      <x:c r="K106" s="33"/>
    </x:row>
    <x:row r="107" ht="14.25" customHeight="1">
      <x:c r="A107" s="33"/>
      <x:c r="B107" s="33"/>
      <x:c r="C107" s="33"/>
      <x:c r="D107" s="33"/>
      <x:c r="E107" s="33"/>
      <x:c r="F107" s="41"/>
      <x:c r="G107" s="33"/>
      <x:c r="H107" s="33"/>
      <x:c r="I107" s="33"/>
      <x:c r="J107" s="33"/>
      <x:c r="K107" s="33"/>
    </x:row>
    <x:row r="108" ht="14.25" customHeight="1">
      <x:c r="A108" s="33"/>
      <x:c r="B108" s="33"/>
      <x:c r="C108" s="33"/>
      <x:c r="D108" s="33"/>
      <x:c r="E108" s="33"/>
      <x:c r="F108" s="41"/>
      <x:c r="G108" s="33"/>
      <x:c r="H108" s="33"/>
      <x:c r="I108" s="33"/>
      <x:c r="J108" s="33"/>
      <x:c r="K108" s="33"/>
    </x:row>
    <x:row r="109" ht="14.25" customHeight="1">
      <x:c r="A109" s="33"/>
      <x:c r="B109" s="33"/>
      <x:c r="C109" s="33"/>
      <x:c r="D109" s="33"/>
      <x:c r="E109" s="33"/>
      <x:c r="F109" s="41"/>
      <x:c r="G109" s="33"/>
      <x:c r="H109" s="33"/>
      <x:c r="I109" s="33"/>
      <x:c r="J109" s="33"/>
      <x:c r="K109" s="33"/>
    </x:row>
    <x:row r="110" ht="14.25" customHeight="1">
      <x:c r="A110" s="33"/>
      <x:c r="B110" s="33"/>
      <x:c r="C110" s="33"/>
      <x:c r="D110" s="33"/>
      <x:c r="E110" s="33"/>
      <x:c r="F110" s="41"/>
      <x:c r="G110" s="33"/>
      <x:c r="H110" s="33"/>
      <x:c r="I110" s="33"/>
      <x:c r="J110" s="33"/>
      <x:c r="K110" s="33"/>
    </x:row>
    <x:row r="111" ht="14.25" customHeight="1">
      <x:c r="A111" s="33"/>
      <x:c r="B111" s="33"/>
      <x:c r="C111" s="33"/>
      <x:c r="D111" s="33"/>
      <x:c r="E111" s="33"/>
      <x:c r="F111" s="41"/>
      <x:c r="G111" s="33"/>
      <x:c r="H111" s="33"/>
      <x:c r="I111" s="33"/>
      <x:c r="J111" s="33"/>
      <x:c r="K111" s="33"/>
    </x:row>
    <x:row r="112" ht="14.25" customHeight="1">
      <x:c r="A112" s="33"/>
      <x:c r="B112" s="33"/>
      <x:c r="C112" s="33"/>
      <x:c r="D112" s="33"/>
      <x:c r="E112" s="33"/>
      <x:c r="F112" s="41"/>
      <x:c r="G112" s="33"/>
      <x:c r="H112" s="33"/>
      <x:c r="I112" s="33"/>
      <x:c r="J112" s="33"/>
      <x:c r="K112" s="33"/>
    </x:row>
    <x:row r="113" ht="14.25" customHeight="1">
      <x:c r="A113" s="33"/>
      <x:c r="B113" s="33"/>
      <x:c r="C113" s="33"/>
      <x:c r="D113" s="33"/>
      <x:c r="E113" s="33"/>
      <x:c r="F113" s="41"/>
      <x:c r="G113" s="33"/>
      <x:c r="H113" s="33"/>
      <x:c r="I113" s="33"/>
      <x:c r="J113" s="33"/>
      <x:c r="K113" s="33"/>
    </x:row>
    <x:row r="114" ht="14.25" customHeight="1">
      <x:c r="A114" s="33"/>
      <x:c r="B114" s="33"/>
      <x:c r="C114" s="33"/>
      <x:c r="D114" s="33"/>
      <x:c r="E114" s="33"/>
      <x:c r="F114" s="41"/>
      <x:c r="G114" s="33"/>
      <x:c r="H114" s="33"/>
      <x:c r="I114" s="33"/>
      <x:c r="J114" s="33"/>
      <x:c r="K114" s="33"/>
    </x:row>
    <x:row r="115" ht="14.25" customHeight="1">
      <x:c r="A115" s="33"/>
      <x:c r="B115" s="33"/>
      <x:c r="C115" s="33"/>
      <x:c r="D115" s="33"/>
      <x:c r="E115" s="33"/>
      <x:c r="F115" s="41"/>
      <x:c r="G115" s="33"/>
      <x:c r="H115" s="33"/>
      <x:c r="I115" s="33"/>
      <x:c r="J115" s="33"/>
      <x:c r="K115" s="33"/>
    </x:row>
    <x:row r="116" ht="14.25" customHeight="1">
      <x:c r="A116" s="33"/>
      <x:c r="B116" s="33"/>
      <x:c r="C116" s="33"/>
      <x:c r="D116" s="33"/>
      <x:c r="E116" s="33"/>
      <x:c r="F116" s="41"/>
      <x:c r="G116" s="33"/>
      <x:c r="H116" s="33"/>
      <x:c r="I116" s="33"/>
      <x:c r="J116" s="33"/>
      <x:c r="K116" s="33"/>
    </x:row>
    <x:row r="117" ht="14.25" customHeight="1">
      <x:c r="A117" s="33"/>
      <x:c r="B117" s="33"/>
      <x:c r="C117" s="33"/>
      <x:c r="D117" s="33"/>
      <x:c r="E117" s="33"/>
      <x:c r="F117" s="41"/>
      <x:c r="G117" s="33"/>
      <x:c r="H117" s="33"/>
      <x:c r="I117" s="33"/>
      <x:c r="J117" s="33"/>
      <x:c r="K117" s="33"/>
    </x:row>
    <x:row r="118" ht="14.25" customHeight="1">
      <x:c r="A118" s="33"/>
      <x:c r="B118" s="33"/>
      <x:c r="C118" s="33"/>
      <x:c r="D118" s="33"/>
      <x:c r="E118" s="33"/>
      <x:c r="F118" s="41"/>
      <x:c r="G118" s="33"/>
      <x:c r="H118" s="33"/>
      <x:c r="I118" s="33"/>
      <x:c r="J118" s="33"/>
      <x:c r="K118" s="33"/>
    </x:row>
    <x:row r="119" ht="14.25" customHeight="1">
      <x:c r="A119" s="33"/>
      <x:c r="B119" s="33"/>
      <x:c r="C119" s="33"/>
      <x:c r="D119" s="33"/>
      <x:c r="E119" s="33"/>
      <x:c r="F119" s="41"/>
      <x:c r="G119" s="33"/>
      <x:c r="H119" s="33"/>
      <x:c r="I119" s="33"/>
      <x:c r="J119" s="33"/>
      <x:c r="K119" s="33"/>
    </x:row>
    <x:row r="120" ht="14.25" customHeight="1">
      <x:c r="A120" s="33"/>
      <x:c r="B120" s="33"/>
      <x:c r="C120" s="33"/>
      <x:c r="D120" s="33"/>
      <x:c r="E120" s="33"/>
      <x:c r="F120" s="41"/>
      <x:c r="G120" s="33"/>
      <x:c r="H120" s="33"/>
      <x:c r="I120" s="33"/>
      <x:c r="J120" s="33"/>
      <x:c r="K120" s="33"/>
    </x:row>
    <x:row r="121" ht="14.25" customHeight="1">
      <x:c r="A121" s="33"/>
      <x:c r="B121" s="33"/>
      <x:c r="C121" s="33"/>
      <x:c r="D121" s="33"/>
      <x:c r="E121" s="33"/>
      <x:c r="F121" s="41"/>
      <x:c r="G121" s="33"/>
      <x:c r="H121" s="33"/>
      <x:c r="I121" s="33"/>
      <x:c r="J121" s="33"/>
      <x:c r="K121" s="33"/>
    </x:row>
    <x:row r="122" ht="14.25" customHeight="1">
      <x:c r="A122" s="33"/>
      <x:c r="B122" s="33"/>
      <x:c r="C122" s="33"/>
      <x:c r="D122" s="33"/>
      <x:c r="E122" s="33"/>
      <x:c r="F122" s="41"/>
      <x:c r="G122" s="33"/>
      <x:c r="H122" s="33"/>
      <x:c r="I122" s="33"/>
      <x:c r="J122" s="33"/>
      <x:c r="K122" s="33"/>
    </x:row>
    <x:row r="123" ht="14.25" customHeight="1">
      <x:c r="A123" s="33"/>
      <x:c r="B123" s="33"/>
      <x:c r="C123" s="33"/>
      <x:c r="D123" s="33"/>
      <x:c r="E123" s="33"/>
      <x:c r="F123" s="41"/>
      <x:c r="G123" s="33"/>
      <x:c r="H123" s="33"/>
      <x:c r="I123" s="33"/>
      <x:c r="J123" s="33"/>
      <x:c r="K123" s="33"/>
    </x:row>
    <x:row r="124" ht="14.25" customHeight="1">
      <x:c r="A124" s="33"/>
      <x:c r="B124" s="33"/>
      <x:c r="C124" s="33"/>
      <x:c r="D124" s="33"/>
      <x:c r="E124" s="33"/>
      <x:c r="F124" s="41"/>
      <x:c r="G124" s="33"/>
      <x:c r="H124" s="33"/>
      <x:c r="I124" s="33"/>
      <x:c r="J124" s="33"/>
      <x:c r="K124" s="33"/>
    </x:row>
    <x:row r="125" ht="14.25" customHeight="1">
      <x:c r="A125" s="33"/>
      <x:c r="B125" s="33"/>
      <x:c r="C125" s="33"/>
      <x:c r="D125" s="33"/>
      <x:c r="E125" s="33"/>
      <x:c r="F125" s="41"/>
      <x:c r="G125" s="33"/>
      <x:c r="H125" s="33"/>
      <x:c r="I125" s="33"/>
      <x:c r="J125" s="33"/>
      <x:c r="K125" s="33"/>
    </x:row>
    <x:row r="126" ht="14.25" customHeight="1">
      <x:c r="A126" s="33"/>
      <x:c r="B126" s="33"/>
      <x:c r="C126" s="33"/>
      <x:c r="D126" s="33"/>
      <x:c r="E126" s="33"/>
      <x:c r="F126" s="41"/>
      <x:c r="G126" s="33"/>
      <x:c r="H126" s="33"/>
      <x:c r="I126" s="33"/>
      <x:c r="J126" s="33"/>
      <x:c r="K126" s="33"/>
    </x:row>
    <x:row r="127" ht="14.25" customHeight="1">
      <x:c r="A127" s="33"/>
      <x:c r="B127" s="33"/>
      <x:c r="C127" s="33"/>
      <x:c r="D127" s="33"/>
      <x:c r="E127" s="33"/>
      <x:c r="F127" s="41"/>
      <x:c r="G127" s="33"/>
      <x:c r="H127" s="33"/>
      <x:c r="I127" s="33"/>
      <x:c r="J127" s="33"/>
      <x:c r="K127" s="33"/>
    </x:row>
    <x:row r="128" ht="14.25" customHeight="1">
      <x:c r="A128" s="33"/>
      <x:c r="B128" s="33"/>
      <x:c r="C128" s="33"/>
      <x:c r="D128" s="33"/>
      <x:c r="E128" s="33"/>
      <x:c r="F128" s="41"/>
      <x:c r="G128" s="33"/>
      <x:c r="H128" s="33"/>
      <x:c r="I128" s="33"/>
      <x:c r="J128" s="33"/>
      <x:c r="K128" s="33"/>
    </x:row>
    <x:row r="129" ht="14.25" customHeight="1">
      <x:c r="A129" s="33"/>
      <x:c r="B129" s="33"/>
      <x:c r="C129" s="33"/>
      <x:c r="D129" s="33"/>
      <x:c r="E129" s="33"/>
      <x:c r="F129" s="41"/>
      <x:c r="G129" s="33"/>
      <x:c r="H129" s="33"/>
      <x:c r="I129" s="33"/>
      <x:c r="J129" s="33"/>
      <x:c r="K129" s="33"/>
    </x:row>
    <x:row r="130" ht="14.25" customHeight="1">
      <x:c r="A130" s="33"/>
      <x:c r="B130" s="33"/>
      <x:c r="C130" s="33"/>
      <x:c r="D130" s="33"/>
      <x:c r="E130" s="33"/>
      <x:c r="F130" s="41"/>
      <x:c r="G130" s="33"/>
      <x:c r="H130" s="33"/>
      <x:c r="I130" s="33"/>
      <x:c r="J130" s="33"/>
      <x:c r="K130" s="33"/>
    </x:row>
    <x:row r="131" ht="14.25" customHeight="1">
      <x:c r="A131" s="33"/>
      <x:c r="B131" s="33"/>
      <x:c r="C131" s="33"/>
      <x:c r="D131" s="33"/>
      <x:c r="E131" s="33"/>
      <x:c r="F131" s="41"/>
      <x:c r="G131" s="33"/>
      <x:c r="H131" s="33"/>
      <x:c r="I131" s="33"/>
      <x:c r="J131" s="33"/>
      <x:c r="K131" s="33"/>
    </x:row>
    <x:row r="132" ht="14.25" customHeight="1">
      <x:c r="A132" s="33"/>
      <x:c r="B132" s="33"/>
      <x:c r="C132" s="33"/>
      <x:c r="D132" s="33"/>
      <x:c r="E132" s="33"/>
      <x:c r="F132" s="41"/>
      <x:c r="G132" s="33"/>
      <x:c r="H132" s="33"/>
      <x:c r="I132" s="33"/>
      <x:c r="J132" s="33"/>
      <x:c r="K132" s="33"/>
    </x:row>
    <x:row r="133" ht="14.25" customHeight="1">
      <x:c r="A133" s="33"/>
      <x:c r="B133" s="33"/>
      <x:c r="C133" s="33"/>
      <x:c r="D133" s="33"/>
      <x:c r="E133" s="33"/>
      <x:c r="F133" s="41"/>
      <x:c r="G133" s="33"/>
      <x:c r="H133" s="33"/>
      <x:c r="I133" s="33"/>
      <x:c r="J133" s="33"/>
      <x:c r="K133" s="33"/>
    </x:row>
    <x:row r="134" ht="14.25" customHeight="1">
      <x:c r="A134" s="33"/>
      <x:c r="B134" s="33"/>
      <x:c r="C134" s="33"/>
      <x:c r="D134" s="33"/>
      <x:c r="E134" s="33"/>
      <x:c r="F134" s="41"/>
      <x:c r="G134" s="33"/>
      <x:c r="H134" s="33"/>
      <x:c r="I134" s="33"/>
      <x:c r="J134" s="33"/>
      <x:c r="K134" s="33"/>
    </x:row>
    <x:row r="135" ht="14.25" customHeight="1">
      <x:c r="A135" s="33"/>
      <x:c r="B135" s="33"/>
      <x:c r="C135" s="33"/>
      <x:c r="D135" s="33"/>
      <x:c r="E135" s="33"/>
      <x:c r="F135" s="41"/>
      <x:c r="G135" s="33"/>
      <x:c r="H135" s="33"/>
      <x:c r="I135" s="33"/>
      <x:c r="J135" s="33"/>
      <x:c r="K135" s="33"/>
    </x:row>
    <x:row r="136" ht="14.25" customHeight="1">
      <x:c r="A136" s="33"/>
      <x:c r="B136" s="33"/>
      <x:c r="C136" s="33"/>
      <x:c r="D136" s="33"/>
      <x:c r="E136" s="33"/>
      <x:c r="F136" s="41"/>
      <x:c r="G136" s="33"/>
      <x:c r="H136" s="33"/>
      <x:c r="I136" s="33"/>
      <x:c r="J136" s="33"/>
      <x:c r="K136" s="33"/>
    </x:row>
    <x:row r="137" ht="14.25" customHeight="1">
      <x:c r="A137" s="33"/>
      <x:c r="B137" s="33"/>
      <x:c r="C137" s="33"/>
      <x:c r="D137" s="33"/>
      <x:c r="E137" s="33"/>
      <x:c r="F137" s="41"/>
      <x:c r="G137" s="33"/>
      <x:c r="H137" s="33"/>
      <x:c r="I137" s="33"/>
      <x:c r="J137" s="33"/>
      <x:c r="K137" s="33"/>
    </x:row>
    <x:row r="138" ht="14.25" customHeight="1">
      <x:c r="A138" s="33"/>
      <x:c r="B138" s="33"/>
      <x:c r="C138" s="33"/>
      <x:c r="D138" s="33"/>
      <x:c r="E138" s="33"/>
      <x:c r="F138" s="41"/>
      <x:c r="G138" s="33"/>
      <x:c r="H138" s="33"/>
      <x:c r="I138" s="33"/>
      <x:c r="J138" s="33"/>
      <x:c r="K138" s="33"/>
    </x:row>
    <x:row r="139" ht="14.25" customHeight="1">
      <x:c r="A139" s="33"/>
      <x:c r="B139" s="33"/>
      <x:c r="C139" s="33"/>
      <x:c r="D139" s="33"/>
      <x:c r="E139" s="33"/>
      <x:c r="F139" s="41"/>
      <x:c r="G139" s="33"/>
      <x:c r="H139" s="33"/>
      <x:c r="I139" s="33"/>
      <x:c r="J139" s="33"/>
      <x:c r="K139" s="33"/>
    </x:row>
    <x:row r="140" ht="14.25" customHeight="1">
      <x:c r="A140" s="33"/>
      <x:c r="B140" s="33"/>
      <x:c r="C140" s="33"/>
      <x:c r="D140" s="33"/>
      <x:c r="E140" s="33"/>
      <x:c r="F140" s="41"/>
      <x:c r="G140" s="33"/>
      <x:c r="H140" s="33"/>
      <x:c r="I140" s="33"/>
      <x:c r="J140" s="33"/>
      <x:c r="K140" s="33"/>
    </x:row>
    <x:row r="141" ht="14.25" customHeight="1">
      <x:c r="A141" s="33"/>
      <x:c r="B141" s="33"/>
      <x:c r="C141" s="33"/>
      <x:c r="D141" s="33"/>
      <x:c r="E141" s="33"/>
      <x:c r="F141" s="41"/>
      <x:c r="G141" s="33"/>
      <x:c r="H141" s="33"/>
      <x:c r="I141" s="33"/>
      <x:c r="J141" s="33"/>
      <x:c r="K141" s="33"/>
    </x:row>
    <x:row r="142" ht="14.25" customHeight="1">
      <x:c r="A142" s="33"/>
      <x:c r="B142" s="33"/>
      <x:c r="C142" s="33"/>
      <x:c r="D142" s="33"/>
      <x:c r="E142" s="33"/>
      <x:c r="F142" s="41"/>
      <x:c r="G142" s="33"/>
      <x:c r="H142" s="33"/>
      <x:c r="I142" s="33"/>
      <x:c r="J142" s="33"/>
      <x:c r="K142" s="33"/>
    </x:row>
    <x:row r="143" ht="14.25" customHeight="1">
      <x:c r="A143" s="33"/>
      <x:c r="B143" s="33"/>
      <x:c r="C143" s="33"/>
      <x:c r="D143" s="33"/>
      <x:c r="E143" s="33"/>
      <x:c r="F143" s="41"/>
      <x:c r="G143" s="33"/>
      <x:c r="H143" s="33"/>
      <x:c r="I143" s="33"/>
      <x:c r="J143" s="33"/>
      <x:c r="K143" s="33"/>
    </x:row>
    <x:row r="144" ht="14.25" customHeight="1">
      <x:c r="A144" s="33"/>
      <x:c r="B144" s="33"/>
      <x:c r="C144" s="33"/>
      <x:c r="D144" s="33"/>
      <x:c r="E144" s="33"/>
      <x:c r="F144" s="41"/>
      <x:c r="G144" s="33"/>
      <x:c r="H144" s="33"/>
      <x:c r="I144" s="33"/>
      <x:c r="J144" s="33"/>
      <x:c r="K144" s="33"/>
    </x:row>
    <x:row r="145" ht="14.25" customHeight="1">
      <x:c r="A145" s="33"/>
      <x:c r="B145" s="33"/>
      <x:c r="C145" s="33"/>
      <x:c r="D145" s="33"/>
      <x:c r="E145" s="33"/>
      <x:c r="F145" s="41"/>
      <x:c r="G145" s="33"/>
      <x:c r="H145" s="33"/>
      <x:c r="I145" s="33"/>
      <x:c r="J145" s="33"/>
      <x:c r="K145" s="33"/>
    </x:row>
    <x:row r="146" ht="14.25" customHeight="1">
      <x:c r="A146" s="33"/>
      <x:c r="B146" s="33"/>
      <x:c r="C146" s="33"/>
      <x:c r="D146" s="33"/>
      <x:c r="E146" s="33"/>
      <x:c r="F146" s="41"/>
      <x:c r="G146" s="33"/>
      <x:c r="H146" s="33"/>
      <x:c r="I146" s="33"/>
      <x:c r="J146" s="33"/>
      <x:c r="K146" s="33"/>
    </x:row>
    <x:row r="147" ht="14.25" customHeight="1">
      <x:c r="A147" s="33"/>
      <x:c r="B147" s="33"/>
      <x:c r="C147" s="33"/>
      <x:c r="D147" s="33"/>
      <x:c r="E147" s="33"/>
      <x:c r="F147" s="41"/>
      <x:c r="G147" s="33"/>
      <x:c r="H147" s="33"/>
      <x:c r="I147" s="33"/>
      <x:c r="J147" s="33"/>
      <x:c r="K147" s="33"/>
    </x:row>
    <x:row r="148" ht="14.25" customHeight="1">
      <x:c r="A148" s="33"/>
      <x:c r="B148" s="33"/>
      <x:c r="C148" s="33"/>
      <x:c r="D148" s="33"/>
      <x:c r="E148" s="33"/>
      <x:c r="F148" s="41"/>
      <x:c r="G148" s="33"/>
      <x:c r="H148" s="33"/>
      <x:c r="I148" s="33"/>
      <x:c r="J148" s="33"/>
      <x:c r="K148" s="33"/>
    </x:row>
    <x:row r="149" ht="14.25" customHeight="1">
      <x:c r="A149" s="33"/>
      <x:c r="B149" s="33"/>
      <x:c r="C149" s="33"/>
      <x:c r="D149" s="33"/>
      <x:c r="E149" s="33"/>
      <x:c r="F149" s="41"/>
      <x:c r="G149" s="33"/>
      <x:c r="H149" s="33"/>
      <x:c r="I149" s="33"/>
      <x:c r="J149" s="33"/>
      <x:c r="K149" s="33"/>
    </x:row>
    <x:row r="150" ht="14.25" customHeight="1">
      <x:c r="A150" s="33"/>
      <x:c r="B150" s="33"/>
      <x:c r="C150" s="33"/>
      <x:c r="D150" s="33"/>
      <x:c r="E150" s="33"/>
      <x:c r="F150" s="41"/>
      <x:c r="G150" s="33"/>
      <x:c r="H150" s="33"/>
      <x:c r="I150" s="33"/>
      <x:c r="J150" s="33"/>
      <x:c r="K150" s="33"/>
    </x:row>
    <x:row r="151" ht="14.25" customHeight="1">
      <x:c r="A151" s="33"/>
      <x:c r="B151" s="33"/>
      <x:c r="C151" s="33"/>
      <x:c r="D151" s="33"/>
      <x:c r="E151" s="33"/>
      <x:c r="F151" s="41"/>
      <x:c r="G151" s="33"/>
      <x:c r="H151" s="33"/>
      <x:c r="I151" s="33"/>
      <x:c r="J151" s="33"/>
      <x:c r="K151" s="33"/>
    </x:row>
    <x:row r="152" ht="14.25" customHeight="1">
      <x:c r="A152" s="33"/>
      <x:c r="B152" s="33"/>
      <x:c r="C152" s="33"/>
      <x:c r="D152" s="33"/>
      <x:c r="E152" s="33"/>
      <x:c r="F152" s="41"/>
      <x:c r="G152" s="33"/>
      <x:c r="H152" s="33"/>
      <x:c r="I152" s="33"/>
      <x:c r="J152" s="33"/>
      <x:c r="K152" s="33"/>
    </x:row>
    <x:row r="153" ht="14.25" customHeight="1">
      <x:c r="A153" s="33"/>
      <x:c r="B153" s="33"/>
      <x:c r="C153" s="33"/>
      <x:c r="D153" s="33"/>
      <x:c r="E153" s="33"/>
      <x:c r="F153" s="41"/>
      <x:c r="G153" s="33"/>
      <x:c r="H153" s="33"/>
      <x:c r="I153" s="33"/>
      <x:c r="J153" s="33"/>
      <x:c r="K153" s="33"/>
    </x:row>
    <x:row r="154" ht="14.25" customHeight="1">
      <x:c r="A154" s="33"/>
      <x:c r="B154" s="33"/>
      <x:c r="C154" s="33"/>
      <x:c r="D154" s="33"/>
      <x:c r="E154" s="33"/>
      <x:c r="F154" s="41"/>
      <x:c r="G154" s="33"/>
      <x:c r="H154" s="33"/>
      <x:c r="I154" s="33"/>
      <x:c r="J154" s="33"/>
      <x:c r="K154" s="33"/>
    </x:row>
    <x:row r="155" ht="14.25" customHeight="1">
      <x:c r="A155" s="33"/>
      <x:c r="B155" s="33"/>
      <x:c r="C155" s="33"/>
      <x:c r="D155" s="33"/>
      <x:c r="E155" s="33"/>
      <x:c r="F155" s="41"/>
      <x:c r="G155" s="33"/>
      <x:c r="H155" s="33"/>
      <x:c r="I155" s="33"/>
      <x:c r="J155" s="33"/>
      <x:c r="K155" s="33"/>
    </x:row>
    <x:row r="156" ht="14.25" customHeight="1">
      <x:c r="A156" s="33"/>
      <x:c r="B156" s="33"/>
      <x:c r="C156" s="33"/>
      <x:c r="D156" s="33"/>
      <x:c r="E156" s="33"/>
      <x:c r="F156" s="41"/>
      <x:c r="G156" s="33"/>
      <x:c r="H156" s="33"/>
      <x:c r="I156" s="33"/>
      <x:c r="J156" s="33"/>
      <x:c r="K156" s="33"/>
    </x:row>
    <x:row r="157" ht="14.25" customHeight="1">
      <x:c r="A157" s="33"/>
      <x:c r="B157" s="33"/>
      <x:c r="C157" s="33"/>
      <x:c r="D157" s="33"/>
      <x:c r="E157" s="33"/>
      <x:c r="F157" s="41"/>
      <x:c r="G157" s="33"/>
      <x:c r="H157" s="33"/>
      <x:c r="I157" s="33"/>
      <x:c r="J157" s="33"/>
      <x:c r="K157" s="33"/>
    </x:row>
    <x:row r="158" ht="14.25" customHeight="1">
      <x:c r="A158" s="33"/>
      <x:c r="B158" s="33"/>
      <x:c r="C158" s="33"/>
      <x:c r="D158" s="33"/>
      <x:c r="E158" s="33"/>
      <x:c r="F158" s="41"/>
      <x:c r="G158" s="33"/>
      <x:c r="H158" s="33"/>
      <x:c r="I158" s="33"/>
      <x:c r="J158" s="33"/>
      <x:c r="K158" s="33"/>
    </x:row>
    <x:row r="159" ht="14.25" customHeight="1">
      <x:c r="A159" s="33"/>
      <x:c r="B159" s="33"/>
      <x:c r="C159" s="33"/>
      <x:c r="D159" s="33"/>
      <x:c r="E159" s="33"/>
      <x:c r="F159" s="41"/>
      <x:c r="G159" s="33"/>
      <x:c r="H159" s="33"/>
      <x:c r="I159" s="33"/>
      <x:c r="J159" s="33"/>
      <x:c r="K159" s="33"/>
    </x:row>
    <x:row r="160" ht="14.25" customHeight="1">
      <x:c r="A160" s="33"/>
      <x:c r="B160" s="33"/>
      <x:c r="C160" s="33"/>
      <x:c r="D160" s="33"/>
      <x:c r="E160" s="33"/>
      <x:c r="F160" s="41"/>
      <x:c r="G160" s="33"/>
      <x:c r="H160" s="33"/>
      <x:c r="I160" s="33"/>
      <x:c r="J160" s="33"/>
      <x:c r="K160" s="33"/>
    </x:row>
    <x:row r="161" ht="14.25" customHeight="1">
      <x:c r="A161" s="33"/>
      <x:c r="B161" s="33"/>
      <x:c r="C161" s="33"/>
      <x:c r="D161" s="33"/>
      <x:c r="E161" s="33"/>
      <x:c r="F161" s="41"/>
      <x:c r="G161" s="33"/>
      <x:c r="H161" s="33"/>
      <x:c r="I161" s="33"/>
      <x:c r="J161" s="33"/>
      <x:c r="K161" s="33"/>
    </x:row>
    <x:row r="162" ht="14.25" customHeight="1">
      <x:c r="A162" s="33"/>
      <x:c r="B162" s="33"/>
      <x:c r="C162" s="33"/>
      <x:c r="D162" s="33"/>
      <x:c r="E162" s="33"/>
      <x:c r="F162" s="41"/>
      <x:c r="G162" s="33"/>
      <x:c r="H162" s="33"/>
      <x:c r="I162" s="33"/>
      <x:c r="J162" s="33"/>
      <x:c r="K162" s="33"/>
    </x:row>
    <x:row r="163" ht="14.25" customHeight="1">
      <x:c r="A163" s="33"/>
      <x:c r="B163" s="33"/>
      <x:c r="C163" s="33"/>
      <x:c r="D163" s="33"/>
      <x:c r="E163" s="33"/>
      <x:c r="F163" s="41"/>
      <x:c r="G163" s="33"/>
      <x:c r="H163" s="33"/>
      <x:c r="I163" s="33"/>
      <x:c r="J163" s="33"/>
      <x:c r="K163" s="33"/>
    </x:row>
    <x:row r="164" ht="14.25" customHeight="1">
      <x:c r="A164" s="33"/>
      <x:c r="B164" s="33"/>
      <x:c r="C164" s="33"/>
      <x:c r="D164" s="33"/>
      <x:c r="E164" s="33"/>
      <x:c r="F164" s="41"/>
      <x:c r="G164" s="33"/>
      <x:c r="H164" s="33"/>
      <x:c r="I164" s="33"/>
      <x:c r="J164" s="33"/>
      <x:c r="K164" s="33"/>
    </x:row>
    <x:row r="165" ht="14.25" customHeight="1">
      <x:c r="A165" s="33"/>
      <x:c r="B165" s="33"/>
      <x:c r="C165" s="33"/>
      <x:c r="D165" s="33"/>
      <x:c r="E165" s="33"/>
      <x:c r="F165" s="41"/>
      <x:c r="G165" s="33"/>
      <x:c r="H165" s="33"/>
      <x:c r="I165" s="33"/>
      <x:c r="J165" s="33"/>
      <x:c r="K165" s="33"/>
    </x:row>
    <x:row r="166" ht="14.25" customHeight="1">
      <x:c r="A166" s="33"/>
      <x:c r="B166" s="33"/>
      <x:c r="C166" s="33"/>
      <x:c r="D166" s="33"/>
      <x:c r="E166" s="33"/>
      <x:c r="F166" s="41"/>
      <x:c r="G166" s="33"/>
      <x:c r="H166" s="33"/>
      <x:c r="I166" s="33"/>
      <x:c r="J166" s="33"/>
      <x:c r="K166" s="33"/>
    </x:row>
    <x:row r="167" ht="14.25" customHeight="1">
      <x:c r="A167" s="33"/>
      <x:c r="B167" s="33"/>
      <x:c r="C167" s="33"/>
      <x:c r="D167" s="33"/>
      <x:c r="E167" s="33"/>
      <x:c r="F167" s="41"/>
      <x:c r="G167" s="33"/>
      <x:c r="H167" s="33"/>
      <x:c r="I167" s="33"/>
      <x:c r="J167" s="33"/>
      <x:c r="K167" s="33"/>
    </x:row>
    <x:row r="168" ht="14.25" customHeight="1">
      <x:c r="A168" s="33"/>
      <x:c r="B168" s="33"/>
      <x:c r="C168" s="33"/>
      <x:c r="D168" s="33"/>
      <x:c r="E168" s="33"/>
      <x:c r="F168" s="41"/>
      <x:c r="G168" s="33"/>
      <x:c r="H168" s="33"/>
      <x:c r="I168" s="33"/>
      <x:c r="J168" s="33"/>
      <x:c r="K168" s="33"/>
    </x:row>
    <x:row r="169" ht="14.25" customHeight="1">
      <x:c r="A169" s="33"/>
      <x:c r="B169" s="33"/>
      <x:c r="C169" s="33"/>
      <x:c r="D169" s="33"/>
      <x:c r="E169" s="33"/>
      <x:c r="F169" s="41"/>
      <x:c r="G169" s="33"/>
      <x:c r="H169" s="33"/>
      <x:c r="I169" s="33"/>
      <x:c r="J169" s="33"/>
      <x:c r="K169" s="33"/>
    </x:row>
    <x:row r="170" ht="14.25" customHeight="1">
      <x:c r="A170" s="33"/>
      <x:c r="B170" s="33"/>
      <x:c r="C170" s="33"/>
      <x:c r="D170" s="33"/>
      <x:c r="E170" s="33"/>
      <x:c r="F170" s="41"/>
      <x:c r="G170" s="33"/>
      <x:c r="H170" s="33"/>
      <x:c r="I170" s="33"/>
      <x:c r="J170" s="33"/>
      <x:c r="K170" s="33"/>
    </x:row>
    <x:row r="171" ht="14.25" customHeight="1">
      <x:c r="A171" s="33"/>
      <x:c r="B171" s="33"/>
      <x:c r="C171" s="33"/>
      <x:c r="D171" s="33"/>
      <x:c r="E171" s="33"/>
      <x:c r="F171" s="41"/>
      <x:c r="G171" s="33"/>
      <x:c r="H171" s="33"/>
      <x:c r="I171" s="33"/>
      <x:c r="J171" s="33"/>
      <x:c r="K171" s="33"/>
    </x:row>
    <x:row r="172" ht="14.25" customHeight="1">
      <x:c r="A172" s="33"/>
      <x:c r="B172" s="33"/>
      <x:c r="C172" s="33"/>
      <x:c r="D172" s="33"/>
      <x:c r="E172" s="33"/>
      <x:c r="F172" s="41"/>
      <x:c r="G172" s="33"/>
      <x:c r="H172" s="33"/>
      <x:c r="I172" s="33"/>
      <x:c r="J172" s="33"/>
      <x:c r="K172" s="33"/>
    </x:row>
    <x:row r="173" ht="14.25" customHeight="1">
      <x:c r="A173" s="33"/>
      <x:c r="B173" s="33"/>
      <x:c r="C173" s="33"/>
      <x:c r="D173" s="33"/>
      <x:c r="E173" s="33"/>
      <x:c r="F173" s="41"/>
      <x:c r="G173" s="33"/>
      <x:c r="H173" s="33"/>
      <x:c r="I173" s="33"/>
      <x:c r="J173" s="33"/>
      <x:c r="K173" s="33"/>
    </x:row>
    <x:row r="174" ht="14.25" customHeight="1">
      <x:c r="A174" s="33"/>
      <x:c r="B174" s="33"/>
      <x:c r="C174" s="33"/>
      <x:c r="D174" s="33"/>
      <x:c r="E174" s="33"/>
      <x:c r="F174" s="41"/>
      <x:c r="G174" s="33"/>
      <x:c r="H174" s="33"/>
      <x:c r="I174" s="33"/>
      <x:c r="J174" s="33"/>
      <x:c r="K174" s="33"/>
    </x:row>
    <x:row r="175" ht="14.25" customHeight="1">
      <x:c r="A175" s="33"/>
      <x:c r="B175" s="33"/>
      <x:c r="C175" s="33"/>
      <x:c r="D175" s="33"/>
      <x:c r="E175" s="33"/>
      <x:c r="F175" s="41"/>
      <x:c r="G175" s="33"/>
      <x:c r="H175" s="33"/>
      <x:c r="I175" s="33"/>
      <x:c r="J175" s="33"/>
      <x:c r="K175" s="33"/>
    </x:row>
    <x:row r="176" ht="14.25" customHeight="1">
      <x:c r="A176" s="33"/>
      <x:c r="B176" s="33"/>
      <x:c r="C176" s="33"/>
      <x:c r="D176" s="33"/>
      <x:c r="E176" s="33"/>
      <x:c r="F176" s="41"/>
      <x:c r="G176" s="33"/>
      <x:c r="H176" s="33"/>
      <x:c r="I176" s="33"/>
      <x:c r="J176" s="33"/>
      <x:c r="K176" s="33"/>
    </x:row>
    <x:row r="177" ht="14.25" customHeight="1">
      <x:c r="A177" s="33"/>
      <x:c r="B177" s="33"/>
      <x:c r="C177" s="33"/>
      <x:c r="D177" s="33"/>
      <x:c r="E177" s="33"/>
      <x:c r="F177" s="41"/>
      <x:c r="G177" s="33"/>
      <x:c r="H177" s="33"/>
      <x:c r="I177" s="33"/>
      <x:c r="J177" s="33"/>
      <x:c r="K177" s="33"/>
    </x:row>
    <x:row r="178" ht="14.25" customHeight="1">
      <x:c r="A178" s="33"/>
      <x:c r="B178" s="33"/>
      <x:c r="C178" s="33"/>
      <x:c r="D178" s="33"/>
      <x:c r="E178" s="33"/>
      <x:c r="F178" s="41"/>
      <x:c r="G178" s="33"/>
      <x:c r="H178" s="33"/>
      <x:c r="I178" s="33"/>
      <x:c r="J178" s="33"/>
      <x:c r="K178" s="33"/>
    </x:row>
    <x:row r="179" ht="14.25" customHeight="1">
      <x:c r="A179" s="33"/>
      <x:c r="B179" s="33"/>
      <x:c r="C179" s="33"/>
      <x:c r="D179" s="33"/>
      <x:c r="E179" s="33"/>
      <x:c r="F179" s="41"/>
      <x:c r="G179" s="33"/>
      <x:c r="H179" s="33"/>
      <x:c r="I179" s="33"/>
      <x:c r="J179" s="33"/>
      <x:c r="K179" s="33"/>
    </x:row>
    <x:row r="180" ht="14.25" customHeight="1">
      <x:c r="A180" s="33"/>
      <x:c r="B180" s="33"/>
      <x:c r="C180" s="33"/>
      <x:c r="D180" s="33"/>
      <x:c r="E180" s="33"/>
      <x:c r="F180" s="41"/>
      <x:c r="G180" s="33"/>
      <x:c r="H180" s="33"/>
      <x:c r="I180" s="33"/>
      <x:c r="J180" s="33"/>
      <x:c r="K180" s="33"/>
    </x:row>
    <x:row r="181" ht="14.25" customHeight="1">
      <x:c r="A181" s="33"/>
      <x:c r="B181" s="33"/>
      <x:c r="C181" s="33"/>
      <x:c r="D181" s="33"/>
      <x:c r="E181" s="33"/>
      <x:c r="F181" s="41"/>
      <x:c r="G181" s="33"/>
      <x:c r="H181" s="33"/>
      <x:c r="I181" s="33"/>
      <x:c r="J181" s="33"/>
      <x:c r="K181" s="33"/>
    </x:row>
    <x:row r="182" ht="14.25" customHeight="1">
      <x:c r="A182" s="33"/>
      <x:c r="B182" s="33"/>
      <x:c r="C182" s="33"/>
      <x:c r="D182" s="33"/>
      <x:c r="E182" s="33"/>
      <x:c r="F182" s="41"/>
      <x:c r="G182" s="33"/>
      <x:c r="H182" s="33"/>
      <x:c r="I182" s="33"/>
      <x:c r="J182" s="33"/>
      <x:c r="K182" s="33"/>
    </x:row>
    <x:row r="183" ht="14.25" customHeight="1">
      <x:c r="A183" s="33"/>
      <x:c r="B183" s="33"/>
      <x:c r="C183" s="33"/>
      <x:c r="D183" s="33"/>
      <x:c r="E183" s="33"/>
      <x:c r="F183" s="41"/>
      <x:c r="G183" s="33"/>
      <x:c r="H183" s="33"/>
      <x:c r="I183" s="33"/>
      <x:c r="J183" s="33"/>
      <x:c r="K183" s="33"/>
    </x:row>
    <x:row r="184" ht="14.25" customHeight="1">
      <x:c r="A184" s="33"/>
      <x:c r="B184" s="33"/>
      <x:c r="C184" s="33"/>
      <x:c r="D184" s="33"/>
      <x:c r="E184" s="33"/>
      <x:c r="F184" s="41"/>
      <x:c r="G184" s="33"/>
      <x:c r="H184" s="33"/>
      <x:c r="I184" s="33"/>
      <x:c r="J184" s="33"/>
      <x:c r="K184" s="33"/>
    </x:row>
    <x:row r="185" ht="14.25" customHeight="1">
      <x:c r="A185" s="33"/>
      <x:c r="B185" s="33"/>
      <x:c r="C185" s="33"/>
      <x:c r="D185" s="33"/>
      <x:c r="E185" s="33"/>
      <x:c r="F185" s="41"/>
      <x:c r="G185" s="33"/>
      <x:c r="H185" s="33"/>
      <x:c r="I185" s="33"/>
      <x:c r="J185" s="33"/>
      <x:c r="K185" s="33"/>
    </x:row>
    <x:row r="186" ht="14.25" customHeight="1">
      <x:c r="A186" s="33"/>
      <x:c r="B186" s="33"/>
      <x:c r="C186" s="33"/>
      <x:c r="D186" s="33"/>
      <x:c r="E186" s="33"/>
      <x:c r="F186" s="41"/>
      <x:c r="G186" s="33"/>
      <x:c r="H186" s="33"/>
      <x:c r="I186" s="33"/>
      <x:c r="J186" s="33"/>
      <x:c r="K186" s="33"/>
    </x:row>
    <x:row r="187" ht="14.25" customHeight="1">
      <x:c r="A187" s="33"/>
      <x:c r="B187" s="33"/>
      <x:c r="C187" s="33"/>
      <x:c r="D187" s="33"/>
      <x:c r="E187" s="33"/>
      <x:c r="F187" s="41"/>
      <x:c r="G187" s="33"/>
      <x:c r="H187" s="33"/>
      <x:c r="I187" s="33"/>
      <x:c r="J187" s="33"/>
      <x:c r="K187" s="33"/>
    </x:row>
    <x:row r="188" ht="14.25" customHeight="1">
      <x:c r="A188" s="33"/>
      <x:c r="B188" s="33"/>
      <x:c r="C188" s="33"/>
      <x:c r="D188" s="33"/>
      <x:c r="E188" s="33"/>
      <x:c r="F188" s="41"/>
      <x:c r="G188" s="33"/>
      <x:c r="H188" s="33"/>
      <x:c r="I188" s="33"/>
      <x:c r="J188" s="33"/>
      <x:c r="K188" s="33"/>
    </x:row>
    <x:row r="189" ht="14.25" customHeight="1">
      <x:c r="A189" s="33"/>
      <x:c r="B189" s="33"/>
      <x:c r="C189" s="33"/>
      <x:c r="D189" s="33"/>
      <x:c r="E189" s="33"/>
      <x:c r="F189" s="41"/>
      <x:c r="G189" s="33"/>
      <x:c r="H189" s="33"/>
      <x:c r="I189" s="33"/>
      <x:c r="J189" s="33"/>
      <x:c r="K189" s="33"/>
    </x:row>
    <x:row r="190" ht="14.25" customHeight="1">
      <x:c r="A190" s="33"/>
      <x:c r="B190" s="33"/>
      <x:c r="C190" s="33"/>
      <x:c r="D190" s="33"/>
      <x:c r="E190" s="33"/>
      <x:c r="F190" s="41"/>
      <x:c r="G190" s="33"/>
      <x:c r="H190" s="33"/>
      <x:c r="I190" s="33"/>
      <x:c r="J190" s="33"/>
      <x:c r="K190" s="33"/>
    </x:row>
    <x:row r="191" ht="14.25" customHeight="1">
      <x:c r="A191" s="33"/>
      <x:c r="B191" s="33"/>
      <x:c r="C191" s="33"/>
      <x:c r="D191" s="33"/>
      <x:c r="E191" s="33"/>
      <x:c r="F191" s="41"/>
      <x:c r="G191" s="33"/>
      <x:c r="H191" s="33"/>
      <x:c r="I191" s="33"/>
      <x:c r="J191" s="33"/>
      <x:c r="K191" s="33"/>
    </x:row>
    <x:row r="192" ht="14.25" customHeight="1">
      <x:c r="A192" s="33"/>
      <x:c r="B192" s="33"/>
      <x:c r="C192" s="33"/>
      <x:c r="D192" s="33"/>
      <x:c r="E192" s="33"/>
      <x:c r="F192" s="41"/>
      <x:c r="G192" s="33"/>
      <x:c r="H192" s="33"/>
      <x:c r="I192" s="33"/>
      <x:c r="J192" s="33"/>
      <x:c r="K192" s="33"/>
    </x:row>
    <x:row r="193" ht="14.25" customHeight="1">
      <x:c r="A193" s="33"/>
      <x:c r="B193" s="33"/>
      <x:c r="C193" s="33"/>
      <x:c r="D193" s="33"/>
      <x:c r="E193" s="33"/>
      <x:c r="F193" s="41"/>
      <x:c r="G193" s="33"/>
      <x:c r="H193" s="33"/>
      <x:c r="I193" s="33"/>
      <x:c r="J193" s="33"/>
      <x:c r="K193" s="33"/>
    </x:row>
    <x:row r="194" ht="14.25" customHeight="1">
      <x:c r="A194" s="33"/>
      <x:c r="B194" s="33"/>
      <x:c r="C194" s="33"/>
      <x:c r="D194" s="33"/>
      <x:c r="E194" s="33"/>
      <x:c r="F194" s="41"/>
      <x:c r="G194" s="33"/>
      <x:c r="H194" s="33"/>
      <x:c r="I194" s="33"/>
      <x:c r="J194" s="33"/>
      <x:c r="K194" s="33"/>
    </x:row>
    <x:row r="195" ht="14.25" customHeight="1">
      <x:c r="A195" s="33"/>
      <x:c r="B195" s="33"/>
      <x:c r="C195" s="33"/>
      <x:c r="D195" s="33"/>
      <x:c r="E195" s="33"/>
      <x:c r="F195" s="41"/>
      <x:c r="G195" s="33"/>
      <x:c r="H195" s="33"/>
      <x:c r="I195" s="33"/>
      <x:c r="J195" s="33"/>
      <x:c r="K195" s="33"/>
    </x:row>
    <x:row r="196" ht="14.25" customHeight="1">
      <x:c r="A196" s="33"/>
      <x:c r="B196" s="33"/>
      <x:c r="C196" s="33"/>
      <x:c r="D196" s="33"/>
      <x:c r="E196" s="33"/>
      <x:c r="F196" s="41"/>
      <x:c r="G196" s="33"/>
      <x:c r="H196" s="33"/>
      <x:c r="I196" s="33"/>
      <x:c r="J196" s="33"/>
      <x:c r="K196" s="33"/>
    </x:row>
    <x:row r="197" ht="14.25" customHeight="1">
      <x:c r="A197" s="33"/>
      <x:c r="B197" s="33"/>
      <x:c r="C197" s="33"/>
      <x:c r="D197" s="33"/>
      <x:c r="E197" s="33"/>
      <x:c r="F197" s="41"/>
      <x:c r="G197" s="33"/>
      <x:c r="H197" s="33"/>
      <x:c r="I197" s="33"/>
      <x:c r="J197" s="33"/>
      <x:c r="K197" s="33"/>
    </x:row>
    <x:row r="198" ht="14.25" customHeight="1">
      <x:c r="A198" s="33"/>
      <x:c r="B198" s="33"/>
      <x:c r="C198" s="33"/>
      <x:c r="D198" s="33"/>
      <x:c r="E198" s="33"/>
      <x:c r="F198" s="41"/>
      <x:c r="G198" s="33"/>
      <x:c r="H198" s="33"/>
      <x:c r="I198" s="33"/>
      <x:c r="J198" s="33"/>
      <x:c r="K198" s="33"/>
    </x:row>
    <x:row r="199" ht="14.25" customHeight="1">
      <x:c r="A199" s="33"/>
      <x:c r="B199" s="33"/>
      <x:c r="C199" s="33"/>
      <x:c r="D199" s="33"/>
      <x:c r="E199" s="33"/>
      <x:c r="F199" s="41"/>
      <x:c r="G199" s="33"/>
      <x:c r="H199" s="33"/>
      <x:c r="I199" s="33"/>
      <x:c r="J199" s="33"/>
      <x:c r="K199" s="33"/>
    </x:row>
    <x:row r="200" ht="14.25" customHeight="1">
      <x:c r="A200" s="33"/>
      <x:c r="B200" s="33"/>
      <x:c r="C200" s="33"/>
      <x:c r="D200" s="33"/>
      <x:c r="E200" s="33"/>
      <x:c r="F200" s="41"/>
      <x:c r="G200" s="33"/>
      <x:c r="H200" s="33"/>
      <x:c r="I200" s="33"/>
      <x:c r="J200" s="33"/>
      <x:c r="K200" s="33"/>
    </x:row>
    <x:row r="201" ht="14.25" customHeight="1">
      <x:c r="A201" s="33"/>
      <x:c r="B201" s="33"/>
      <x:c r="C201" s="33"/>
      <x:c r="D201" s="33"/>
      <x:c r="E201" s="33"/>
      <x:c r="F201" s="41"/>
      <x:c r="G201" s="33"/>
      <x:c r="H201" s="33"/>
      <x:c r="I201" s="33"/>
      <x:c r="J201" s="33"/>
      <x:c r="K201" s="33"/>
    </x:row>
    <x:row r="202" ht="14.25" customHeight="1">
      <x:c r="A202" s="33"/>
      <x:c r="B202" s="33"/>
      <x:c r="C202" s="33"/>
      <x:c r="D202" s="33"/>
      <x:c r="E202" s="33"/>
      <x:c r="F202" s="41"/>
      <x:c r="G202" s="33"/>
      <x:c r="H202" s="33"/>
      <x:c r="I202" s="33"/>
      <x:c r="J202" s="33"/>
      <x:c r="K202" s="33"/>
    </x:row>
    <x:row r="203" ht="14.25" customHeight="1">
      <x:c r="A203" s="33"/>
      <x:c r="B203" s="33"/>
      <x:c r="C203" s="33"/>
      <x:c r="D203" s="33"/>
      <x:c r="E203" s="33"/>
      <x:c r="F203" s="41"/>
      <x:c r="G203" s="33"/>
      <x:c r="H203" s="33"/>
      <x:c r="I203" s="33"/>
      <x:c r="J203" s="33"/>
      <x:c r="K203" s="33"/>
    </x:row>
    <x:row r="204" ht="14.25" customHeight="1">
      <x:c r="A204" s="33"/>
      <x:c r="B204" s="33"/>
      <x:c r="C204" s="33"/>
      <x:c r="D204" s="33"/>
      <x:c r="E204" s="33"/>
      <x:c r="F204" s="41"/>
      <x:c r="G204" s="33"/>
      <x:c r="H204" s="33"/>
      <x:c r="I204" s="33"/>
      <x:c r="J204" s="33"/>
      <x:c r="K204" s="33"/>
    </x:row>
    <x:row r="205" ht="14.25" customHeight="1">
      <x:c r="A205" s="33"/>
      <x:c r="B205" s="33"/>
      <x:c r="C205" s="33"/>
      <x:c r="D205" s="33"/>
      <x:c r="E205" s="33"/>
      <x:c r="F205" s="41"/>
      <x:c r="G205" s="33"/>
      <x:c r="H205" s="33"/>
      <x:c r="I205" s="33"/>
      <x:c r="J205" s="33"/>
      <x:c r="K205" s="33"/>
    </x:row>
    <x:row r="206" ht="14.25" customHeight="1">
      <x:c r="A206" s="33"/>
      <x:c r="B206" s="33"/>
      <x:c r="C206" s="33"/>
      <x:c r="D206" s="33"/>
      <x:c r="E206" s="33"/>
      <x:c r="F206" s="41"/>
      <x:c r="G206" s="33"/>
      <x:c r="H206" s="33"/>
      <x:c r="I206" s="33"/>
      <x:c r="J206" s="33"/>
      <x:c r="K206" s="33"/>
    </x:row>
    <x:row r="207" ht="14.25" customHeight="1">
      <x:c r="A207" s="33"/>
      <x:c r="B207" s="33"/>
      <x:c r="C207" s="33"/>
      <x:c r="D207" s="33"/>
      <x:c r="E207" s="33"/>
      <x:c r="F207" s="41"/>
      <x:c r="G207" s="33"/>
      <x:c r="H207" s="33"/>
      <x:c r="I207" s="33"/>
      <x:c r="J207" s="33"/>
      <x:c r="K207" s="33"/>
    </x:row>
    <x:row r="208" ht="14.25" customHeight="1">
      <x:c r="A208" s="33"/>
      <x:c r="B208" s="33"/>
      <x:c r="C208" s="33"/>
      <x:c r="D208" s="33"/>
      <x:c r="E208" s="33"/>
      <x:c r="F208" s="41"/>
      <x:c r="G208" s="33"/>
      <x:c r="H208" s="33"/>
      <x:c r="I208" s="33"/>
      <x:c r="J208" s="33"/>
      <x:c r="K208" s="33"/>
    </x:row>
    <x:row r="209" ht="14.25" customHeight="1">
      <x:c r="A209" s="33"/>
      <x:c r="B209" s="33"/>
      <x:c r="C209" s="33"/>
      <x:c r="D209" s="33"/>
      <x:c r="E209" s="33"/>
      <x:c r="F209" s="41"/>
      <x:c r="G209" s="33"/>
      <x:c r="H209" s="33"/>
      <x:c r="I209" s="33"/>
      <x:c r="J209" s="33"/>
      <x:c r="K209" s="33"/>
    </x:row>
    <x:row r="210" ht="14.25" customHeight="1">
      <x:c r="A210" s="33"/>
      <x:c r="B210" s="33"/>
      <x:c r="C210" s="33"/>
      <x:c r="D210" s="33"/>
      <x:c r="E210" s="33"/>
      <x:c r="F210" s="41"/>
      <x:c r="G210" s="33"/>
      <x:c r="H210" s="33"/>
      <x:c r="I210" s="33"/>
      <x:c r="J210" s="33"/>
      <x:c r="K210" s="33"/>
    </x:row>
    <x:row r="211" ht="14.25" customHeight="1">
      <x:c r="A211" s="33"/>
      <x:c r="B211" s="33"/>
      <x:c r="C211" s="33"/>
      <x:c r="D211" s="33"/>
      <x:c r="E211" s="33"/>
      <x:c r="F211" s="41"/>
      <x:c r="G211" s="33"/>
      <x:c r="H211" s="33"/>
      <x:c r="I211" s="33"/>
      <x:c r="J211" s="33"/>
      <x:c r="K211" s="33"/>
    </x:row>
    <x:row r="212" ht="14.25" customHeight="1">
      <x:c r="A212" s="33"/>
      <x:c r="B212" s="33"/>
      <x:c r="C212" s="33"/>
      <x:c r="D212" s="33"/>
      <x:c r="E212" s="33"/>
      <x:c r="F212" s="41"/>
      <x:c r="G212" s="33"/>
      <x:c r="H212" s="33"/>
      <x:c r="I212" s="33"/>
      <x:c r="J212" s="33"/>
      <x:c r="K212" s="33"/>
    </x:row>
    <x:row r="213" ht="14.25" customHeight="1">
      <x:c r="A213" s="33"/>
      <x:c r="B213" s="33"/>
      <x:c r="C213" s="33"/>
      <x:c r="D213" s="33"/>
      <x:c r="E213" s="33"/>
      <x:c r="F213" s="41"/>
      <x:c r="G213" s="33"/>
      <x:c r="H213" s="33"/>
      <x:c r="I213" s="33"/>
      <x:c r="J213" s="33"/>
      <x:c r="K213" s="33"/>
    </x:row>
    <x:row r="214" ht="14.25" customHeight="1">
      <x:c r="A214" s="33"/>
      <x:c r="B214" s="33"/>
      <x:c r="C214" s="33"/>
      <x:c r="D214" s="33"/>
      <x:c r="E214" s="33"/>
      <x:c r="F214" s="41"/>
      <x:c r="G214" s="33"/>
      <x:c r="H214" s="33"/>
      <x:c r="I214" s="33"/>
      <x:c r="J214" s="33"/>
      <x:c r="K214" s="33"/>
    </x:row>
    <x:row r="215" ht="14.25" customHeight="1">
      <x:c r="A215" s="33"/>
      <x:c r="B215" s="33"/>
      <x:c r="C215" s="33"/>
      <x:c r="D215" s="33"/>
      <x:c r="E215" s="33"/>
      <x:c r="F215" s="41"/>
      <x:c r="G215" s="33"/>
      <x:c r="H215" s="33"/>
      <x:c r="I215" s="33"/>
      <x:c r="J215" s="33"/>
      <x:c r="K215" s="33"/>
    </x:row>
    <x:row r="216" ht="14.25" customHeight="1">
      <x:c r="A216" s="33"/>
      <x:c r="B216" s="33"/>
      <x:c r="C216" s="33"/>
      <x:c r="D216" s="33"/>
      <x:c r="E216" s="33"/>
      <x:c r="F216" s="41"/>
      <x:c r="G216" s="33"/>
      <x:c r="H216" s="33"/>
      <x:c r="I216" s="33"/>
      <x:c r="J216" s="33"/>
      <x:c r="K216" s="33"/>
    </x:row>
    <x:row r="217" ht="14.25" customHeight="1">
      <x:c r="A217" s="33"/>
      <x:c r="B217" s="33"/>
      <x:c r="C217" s="33"/>
      <x:c r="D217" s="33"/>
      <x:c r="E217" s="33"/>
      <x:c r="F217" s="41"/>
      <x:c r="G217" s="33"/>
      <x:c r="H217" s="33"/>
      <x:c r="I217" s="33"/>
      <x:c r="J217" s="33"/>
      <x:c r="K217" s="33"/>
    </x:row>
    <x:row r="218" ht="14.25" customHeight="1">
      <x:c r="A218" s="33"/>
      <x:c r="B218" s="33"/>
      <x:c r="C218" s="33"/>
      <x:c r="D218" s="33"/>
      <x:c r="E218" s="33"/>
      <x:c r="F218" s="41"/>
      <x:c r="G218" s="33"/>
      <x:c r="H218" s="33"/>
      <x:c r="I218" s="33"/>
      <x:c r="J218" s="33"/>
      <x:c r="K218" s="33"/>
    </x:row>
    <x:row r="219" ht="14.25" customHeight="1">
      <x:c r="A219" s="33"/>
      <x:c r="B219" s="33"/>
      <x:c r="C219" s="33"/>
      <x:c r="D219" s="33"/>
      <x:c r="E219" s="33"/>
      <x:c r="F219" s="41"/>
      <x:c r="G219" s="33"/>
      <x:c r="H219" s="33"/>
      <x:c r="I219" s="33"/>
      <x:c r="J219" s="33"/>
      <x:c r="K219" s="33"/>
    </x:row>
    <x:row r="220" ht="14.25" customHeight="1">
      <x:c r="A220" s="33"/>
      <x:c r="B220" s="33"/>
      <x:c r="C220" s="33"/>
      <x:c r="D220" s="33"/>
      <x:c r="E220" s="33"/>
      <x:c r="F220" s="41"/>
      <x:c r="G220" s="33"/>
      <x:c r="H220" s="33"/>
      <x:c r="I220" s="33"/>
      <x:c r="J220" s="33"/>
      <x:c r="K220" s="33"/>
    </x:row>
    <x:row r="221" ht="14.25" customHeight="1">
      <x:c r="A221" s="33"/>
      <x:c r="B221" s="33"/>
      <x:c r="C221" s="33"/>
      <x:c r="D221" s="33"/>
      <x:c r="E221" s="33"/>
      <x:c r="F221" s="41"/>
      <x:c r="G221" s="33"/>
      <x:c r="H221" s="33"/>
      <x:c r="I221" s="33"/>
      <x:c r="J221" s="33"/>
      <x:c r="K221" s="33"/>
    </x:row>
    <x:row r="222" ht="14.25" customHeight="1">
      <x:c r="A222" s="33"/>
      <x:c r="B222" s="33"/>
      <x:c r="C222" s="33"/>
      <x:c r="D222" s="33"/>
      <x:c r="E222" s="33"/>
      <x:c r="F222" s="41"/>
      <x:c r="G222" s="33"/>
      <x:c r="H222" s="33"/>
      <x:c r="I222" s="33"/>
      <x:c r="J222" s="33"/>
      <x:c r="K222" s="33"/>
    </x:row>
    <x:row r="223" ht="14.25" customHeight="1">
      <x:c r="A223" s="33"/>
      <x:c r="B223" s="33"/>
      <x:c r="C223" s="33"/>
      <x:c r="D223" s="33"/>
      <x:c r="E223" s="33"/>
      <x:c r="F223" s="41"/>
      <x:c r="G223" s="33"/>
      <x:c r="H223" s="33"/>
      <x:c r="I223" s="33"/>
      <x:c r="J223" s="33"/>
      <x:c r="K223" s="33"/>
    </x:row>
    <x:row r="224" ht="14.25" customHeight="1">
      <x:c r="A224" s="33"/>
      <x:c r="B224" s="33"/>
      <x:c r="C224" s="33"/>
      <x:c r="D224" s="33"/>
      <x:c r="E224" s="33"/>
      <x:c r="F224" s="41"/>
      <x:c r="G224" s="33"/>
      <x:c r="H224" s="33"/>
      <x:c r="I224" s="33"/>
      <x:c r="J224" s="33"/>
      <x:c r="K224" s="33"/>
    </x:row>
    <x:row r="225" ht="14.25" customHeight="1">
      <x:c r="A225" s="33"/>
      <x:c r="B225" s="33"/>
      <x:c r="C225" s="33"/>
      <x:c r="D225" s="33"/>
      <x:c r="E225" s="33"/>
      <x:c r="F225" s="41"/>
      <x:c r="G225" s="33"/>
      <x:c r="H225" s="33"/>
      <x:c r="I225" s="33"/>
      <x:c r="J225" s="33"/>
      <x:c r="K225" s="33"/>
    </x:row>
    <x:row r="226" ht="14.25" customHeight="1">
      <x:c r="A226" s="33"/>
      <x:c r="B226" s="33"/>
      <x:c r="C226" s="33"/>
      <x:c r="D226" s="33"/>
      <x:c r="E226" s="33"/>
      <x:c r="F226" s="41"/>
      <x:c r="G226" s="33"/>
      <x:c r="H226" s="33"/>
      <x:c r="I226" s="33"/>
      <x:c r="J226" s="33"/>
      <x:c r="K226" s="33"/>
    </x:row>
    <x:row r="227" ht="14.25" customHeight="1">
      <x:c r="A227" s="33"/>
      <x:c r="B227" s="33"/>
      <x:c r="C227" s="33"/>
      <x:c r="D227" s="33"/>
      <x:c r="E227" s="33"/>
      <x:c r="F227" s="41"/>
      <x:c r="G227" s="33"/>
      <x:c r="H227" s="33"/>
      <x:c r="I227" s="33"/>
      <x:c r="J227" s="33"/>
      <x:c r="K227" s="33"/>
    </x:row>
    <x:row r="228" ht="14.25" customHeight="1">
      <x:c r="A228" s="33"/>
      <x:c r="B228" s="33"/>
      <x:c r="C228" s="33"/>
      <x:c r="D228" s="33"/>
      <x:c r="E228" s="33"/>
      <x:c r="F228" s="41"/>
      <x:c r="G228" s="33"/>
      <x:c r="H228" s="33"/>
      <x:c r="I228" s="33"/>
      <x:c r="J228" s="33"/>
      <x:c r="K228" s="33"/>
    </x:row>
    <x:row r="229" ht="14.25" customHeight="1">
      <x:c r="A229" s="33"/>
      <x:c r="B229" s="33"/>
      <x:c r="C229" s="33"/>
      <x:c r="D229" s="33"/>
      <x:c r="E229" s="33"/>
      <x:c r="F229" s="41"/>
      <x:c r="G229" s="33"/>
      <x:c r="H229" s="33"/>
      <x:c r="I229" s="33"/>
      <x:c r="J229" s="33"/>
      <x:c r="K229" s="33"/>
    </x:row>
    <x:row r="230" ht="14.25" customHeight="1">
      <x:c r="A230" s="33"/>
      <x:c r="B230" s="33"/>
      <x:c r="C230" s="33"/>
      <x:c r="D230" s="33"/>
      <x:c r="E230" s="33"/>
      <x:c r="F230" s="41"/>
      <x:c r="G230" s="33"/>
      <x:c r="H230" s="33"/>
      <x:c r="I230" s="33"/>
      <x:c r="J230" s="33"/>
      <x:c r="K230" s="33"/>
    </x:row>
    <x:row r="231" ht="14.25" customHeight="1">
      <x:c r="A231" s="33"/>
      <x:c r="B231" s="33"/>
      <x:c r="C231" s="33"/>
      <x:c r="D231" s="33"/>
      <x:c r="E231" s="33"/>
      <x:c r="F231" s="41"/>
      <x:c r="G231" s="33"/>
      <x:c r="H231" s="33"/>
      <x:c r="I231" s="33"/>
      <x:c r="J231" s="33"/>
      <x:c r="K231" s="33"/>
    </x:row>
    <x:row r="232" ht="14.25" customHeight="1">
      <x:c r="A232" s="33"/>
      <x:c r="B232" s="33"/>
      <x:c r="C232" s="33"/>
      <x:c r="D232" s="33"/>
      <x:c r="E232" s="33"/>
      <x:c r="F232" s="41"/>
      <x:c r="G232" s="33"/>
      <x:c r="H232" s="33"/>
      <x:c r="I232" s="33"/>
      <x:c r="J232" s="33"/>
      <x:c r="K232" s="33"/>
    </x:row>
    <x:row r="233" ht="14.25" customHeight="1">
      <x:c r="A233" s="33"/>
      <x:c r="B233" s="33"/>
      <x:c r="C233" s="33"/>
      <x:c r="D233" s="33"/>
      <x:c r="E233" s="33"/>
      <x:c r="F233" s="41"/>
      <x:c r="G233" s="33"/>
      <x:c r="H233" s="33"/>
      <x:c r="I233" s="33"/>
      <x:c r="J233" s="33"/>
      <x:c r="K233" s="33"/>
    </x:row>
    <x:row r="234" ht="14.25" customHeight="1">
      <x:c r="A234" s="33"/>
      <x:c r="B234" s="33"/>
      <x:c r="C234" s="33"/>
      <x:c r="D234" s="33"/>
      <x:c r="E234" s="33"/>
      <x:c r="F234" s="41"/>
      <x:c r="G234" s="33"/>
      <x:c r="H234" s="33"/>
      <x:c r="I234" s="33"/>
      <x:c r="J234" s="33"/>
      <x:c r="K234" s="33"/>
    </x:row>
    <x:row r="235" ht="14.25" customHeight="1">
      <x:c r="A235" s="33"/>
      <x:c r="B235" s="33"/>
      <x:c r="C235" s="33"/>
      <x:c r="D235" s="33"/>
      <x:c r="E235" s="33"/>
      <x:c r="F235" s="41"/>
      <x:c r="G235" s="33"/>
      <x:c r="H235" s="33"/>
      <x:c r="I235" s="33"/>
      <x:c r="J235" s="33"/>
      <x:c r="K235" s="33"/>
    </x:row>
    <x:row r="236" ht="14.25" customHeight="1">
      <x:c r="A236" s="33"/>
      <x:c r="B236" s="33"/>
      <x:c r="C236" s="33"/>
      <x:c r="D236" s="33"/>
      <x:c r="E236" s="33"/>
      <x:c r="F236" s="41"/>
      <x:c r="G236" s="33"/>
      <x:c r="H236" s="33"/>
      <x:c r="I236" s="33"/>
      <x:c r="J236" s="33"/>
      <x:c r="K236" s="33"/>
    </x:row>
    <x:row r="237" ht="14.25" customHeight="1">
      <x:c r="A237" s="33"/>
      <x:c r="B237" s="33"/>
      <x:c r="C237" s="33"/>
      <x:c r="D237" s="33"/>
      <x:c r="E237" s="33"/>
      <x:c r="F237" s="41"/>
      <x:c r="G237" s="33"/>
      <x:c r="H237" s="33"/>
      <x:c r="I237" s="33"/>
      <x:c r="J237" s="33"/>
      <x:c r="K237" s="33"/>
    </x:row>
    <x:row r="238" ht="14.25" customHeight="1">
      <x:c r="A238" s="33"/>
      <x:c r="B238" s="33"/>
      <x:c r="C238" s="33"/>
      <x:c r="D238" s="33"/>
      <x:c r="E238" s="33"/>
      <x:c r="F238" s="41"/>
      <x:c r="G238" s="33"/>
      <x:c r="H238" s="33"/>
      <x:c r="I238" s="33"/>
      <x:c r="J238" s="33"/>
      <x:c r="K238" s="33"/>
    </x:row>
    <x:row r="239" ht="14.25" customHeight="1">
      <x:c r="A239" s="33"/>
      <x:c r="B239" s="33"/>
      <x:c r="C239" s="33"/>
      <x:c r="D239" s="33"/>
      <x:c r="E239" s="33"/>
      <x:c r="F239" s="41"/>
      <x:c r="G239" s="33"/>
      <x:c r="H239" s="33"/>
      <x:c r="I239" s="33"/>
      <x:c r="J239" s="33"/>
      <x:c r="K239" s="33"/>
    </x:row>
    <x:row r="240" ht="14.25" customHeight="1">
      <x:c r="A240" s="33"/>
      <x:c r="B240" s="33"/>
      <x:c r="C240" s="33"/>
      <x:c r="D240" s="33"/>
      <x:c r="E240" s="33"/>
      <x:c r="F240" s="41"/>
      <x:c r="G240" s="33"/>
      <x:c r="H240" s="33"/>
      <x:c r="I240" s="33"/>
      <x:c r="J240" s="33"/>
      <x:c r="K240" s="33"/>
    </x:row>
    <x:row r="241" ht="14.25" customHeight="1">
      <x:c r="A241" s="33"/>
      <x:c r="B241" s="33"/>
      <x:c r="C241" s="33"/>
      <x:c r="D241" s="33"/>
      <x:c r="E241" s="33"/>
      <x:c r="F241" s="41"/>
      <x:c r="G241" s="33"/>
      <x:c r="H241" s="33"/>
      <x:c r="I241" s="33"/>
      <x:c r="J241" s="33"/>
      <x:c r="K241" s="33"/>
    </x:row>
    <x:row r="242" ht="14.25" customHeight="1">
      <x:c r="A242" s="33"/>
      <x:c r="B242" s="33"/>
      <x:c r="C242" s="33"/>
      <x:c r="D242" s="33"/>
      <x:c r="E242" s="33"/>
      <x:c r="F242" s="41"/>
      <x:c r="G242" s="33"/>
      <x:c r="H242" s="33"/>
      <x:c r="I242" s="33"/>
      <x:c r="J242" s="33"/>
      <x:c r="K242" s="33"/>
    </x:row>
    <x:row r="243" ht="14.25" customHeight="1">
      <x:c r="A243" s="33"/>
      <x:c r="B243" s="33"/>
      <x:c r="C243" s="33"/>
      <x:c r="D243" s="33"/>
      <x:c r="E243" s="33"/>
      <x:c r="F243" s="41"/>
      <x:c r="G243" s="33"/>
      <x:c r="H243" s="33"/>
      <x:c r="I243" s="33"/>
      <x:c r="J243" s="33"/>
      <x:c r="K243" s="33"/>
    </x:row>
    <x:row r="244" ht="14.25" customHeight="1">
      <x:c r="A244" s="33"/>
      <x:c r="B244" s="33"/>
      <x:c r="C244" s="33"/>
      <x:c r="D244" s="33"/>
      <x:c r="E244" s="33"/>
      <x:c r="F244" s="41"/>
      <x:c r="G244" s="33"/>
      <x:c r="H244" s="33"/>
      <x:c r="I244" s="33"/>
      <x:c r="J244" s="33"/>
      <x:c r="K244" s="33"/>
    </x:row>
    <x:row r="245" ht="14.25" customHeight="1">
      <x:c r="A245" s="33"/>
      <x:c r="B245" s="33"/>
      <x:c r="C245" s="33"/>
      <x:c r="D245" s="33"/>
      <x:c r="E245" s="33"/>
      <x:c r="F245" s="41"/>
      <x:c r="G245" s="33"/>
      <x:c r="H245" s="33"/>
      <x:c r="I245" s="33"/>
      <x:c r="J245" s="33"/>
      <x:c r="K245" s="33"/>
    </x:row>
    <x:row r="246" ht="14.25" customHeight="1">
      <x:c r="A246" s="33"/>
      <x:c r="B246" s="33"/>
      <x:c r="C246" s="33"/>
      <x:c r="D246" s="33"/>
      <x:c r="E246" s="33"/>
      <x:c r="F246" s="41"/>
      <x:c r="G246" s="33"/>
      <x:c r="H246" s="33"/>
      <x:c r="I246" s="33"/>
      <x:c r="J246" s="33"/>
      <x:c r="K246" s="33"/>
    </x:row>
    <x:row r="247" ht="14.25" customHeight="1">
      <x:c r="A247" s="33"/>
      <x:c r="B247" s="33"/>
      <x:c r="C247" s="33"/>
      <x:c r="D247" s="33"/>
      <x:c r="E247" s="33"/>
      <x:c r="F247" s="41"/>
      <x:c r="G247" s="33"/>
      <x:c r="H247" s="33"/>
      <x:c r="I247" s="33"/>
      <x:c r="J247" s="33"/>
      <x:c r="K247" s="33"/>
    </x:row>
    <x:row r="248" ht="14.25" customHeight="1">
      <x:c r="A248" s="33"/>
      <x:c r="B248" s="33"/>
      <x:c r="C248" s="33"/>
      <x:c r="D248" s="33"/>
      <x:c r="E248" s="33"/>
      <x:c r="F248" s="41"/>
      <x:c r="G248" s="33"/>
      <x:c r="H248" s="33"/>
      <x:c r="I248" s="33"/>
      <x:c r="J248" s="33"/>
      <x:c r="K248" s="33"/>
    </x:row>
    <x:row r="249" ht="14.25" customHeight="1">
      <x:c r="A249" s="33"/>
      <x:c r="B249" s="33"/>
      <x:c r="C249" s="33"/>
      <x:c r="D249" s="33"/>
      <x:c r="E249" s="33"/>
      <x:c r="F249" s="41"/>
      <x:c r="G249" s="33"/>
      <x:c r="H249" s="33"/>
      <x:c r="I249" s="33"/>
      <x:c r="J249" s="33"/>
      <x:c r="K249" s="33"/>
    </x:row>
    <x:row r="250" ht="14.25" customHeight="1">
      <x:c r="A250" s="33"/>
      <x:c r="B250" s="33"/>
      <x:c r="C250" s="33"/>
      <x:c r="D250" s="33"/>
      <x:c r="E250" s="33"/>
      <x:c r="F250" s="41"/>
      <x:c r="G250" s="33"/>
      <x:c r="H250" s="33"/>
      <x:c r="I250" s="33"/>
      <x:c r="J250" s="33"/>
      <x:c r="K250" s="33"/>
    </x:row>
    <x:row r="251" ht="14.25" customHeight="1">
      <x:c r="A251" s="33"/>
      <x:c r="B251" s="33"/>
      <x:c r="C251" s="33"/>
      <x:c r="D251" s="33"/>
      <x:c r="E251" s="33"/>
      <x:c r="F251" s="41"/>
      <x:c r="G251" s="33"/>
      <x:c r="H251" s="33"/>
      <x:c r="I251" s="33"/>
      <x:c r="J251" s="33"/>
      <x:c r="K251" s="33"/>
    </x:row>
    <x:row r="252" ht="14.25" customHeight="1">
      <x:c r="A252" s="33"/>
      <x:c r="B252" s="33"/>
      <x:c r="C252" s="33"/>
      <x:c r="D252" s="33"/>
      <x:c r="E252" s="33"/>
      <x:c r="F252" s="41"/>
      <x:c r="G252" s="33"/>
      <x:c r="H252" s="33"/>
      <x:c r="I252" s="33"/>
      <x:c r="J252" s="33"/>
      <x:c r="K252" s="33"/>
    </x:row>
    <x:row r="253" ht="14.25" customHeight="1">
      <x:c r="A253" s="33"/>
      <x:c r="B253" s="33"/>
      <x:c r="C253" s="33"/>
      <x:c r="D253" s="33"/>
      <x:c r="E253" s="33"/>
      <x:c r="F253" s="41"/>
      <x:c r="G253" s="33"/>
      <x:c r="H253" s="33"/>
      <x:c r="I253" s="33"/>
      <x:c r="J253" s="33"/>
      <x:c r="K253" s="33"/>
    </x:row>
    <x:row r="254" ht="14.25" customHeight="1">
      <x:c r="A254" s="33"/>
      <x:c r="B254" s="33"/>
      <x:c r="C254" s="33"/>
      <x:c r="D254" s="33"/>
      <x:c r="E254" s="33"/>
      <x:c r="F254" s="41"/>
      <x:c r="G254" s="33"/>
      <x:c r="H254" s="33"/>
      <x:c r="I254" s="33"/>
      <x:c r="J254" s="33"/>
      <x:c r="K254" s="33"/>
    </x:row>
    <x:row r="255" ht="14.25" customHeight="1">
      <x:c r="A255" s="33"/>
      <x:c r="B255" s="33"/>
      <x:c r="C255" s="33"/>
      <x:c r="D255" s="33"/>
      <x:c r="E255" s="33"/>
      <x:c r="F255" s="41"/>
      <x:c r="G255" s="33"/>
      <x:c r="H255" s="33"/>
      <x:c r="I255" s="33"/>
      <x:c r="J255" s="33"/>
      <x:c r="K255" s="33"/>
    </x:row>
    <x:row r="256" ht="14.25" customHeight="1">
      <x:c r="A256" s="33"/>
      <x:c r="B256" s="33"/>
      <x:c r="C256" s="33"/>
      <x:c r="D256" s="33"/>
      <x:c r="E256" s="33"/>
      <x:c r="F256" s="41"/>
      <x:c r="G256" s="33"/>
      <x:c r="H256" s="33"/>
      <x:c r="I256" s="33"/>
      <x:c r="J256" s="33"/>
      <x:c r="K256" s="33"/>
    </x:row>
    <x:row r="257" ht="14.25" customHeight="1">
      <x:c r="A257" s="33"/>
      <x:c r="B257" s="33"/>
      <x:c r="C257" s="33"/>
      <x:c r="D257" s="33"/>
      <x:c r="E257" s="33"/>
      <x:c r="F257" s="41"/>
      <x:c r="G257" s="33"/>
      <x:c r="H257" s="33"/>
      <x:c r="I257" s="33"/>
      <x:c r="J257" s="33"/>
      <x:c r="K257" s="33"/>
    </x:row>
    <x:row r="258" ht="14.25" customHeight="1">
      <x:c r="A258" s="33"/>
      <x:c r="B258" s="33"/>
      <x:c r="C258" s="33"/>
      <x:c r="D258" s="33"/>
      <x:c r="E258" s="33"/>
      <x:c r="F258" s="41"/>
      <x:c r="G258" s="33"/>
      <x:c r="H258" s="33"/>
      <x:c r="I258" s="33"/>
      <x:c r="J258" s="33"/>
      <x:c r="K258" s="33"/>
    </x:row>
    <x:row r="259" ht="14.25" customHeight="1">
      <x:c r="A259" s="33"/>
      <x:c r="B259" s="33"/>
      <x:c r="C259" s="33"/>
      <x:c r="D259" s="33"/>
      <x:c r="E259" s="33"/>
      <x:c r="F259" s="41"/>
      <x:c r="G259" s="33"/>
      <x:c r="H259" s="33"/>
      <x:c r="I259" s="33"/>
      <x:c r="J259" s="33"/>
      <x:c r="K259" s="33"/>
    </x:row>
    <x:row r="260" ht="14.25" customHeight="1">
      <x:c r="A260" s="33"/>
      <x:c r="B260" s="33"/>
      <x:c r="C260" s="33"/>
      <x:c r="D260" s="33"/>
      <x:c r="E260" s="33"/>
      <x:c r="F260" s="41"/>
      <x:c r="G260" s="33"/>
      <x:c r="H260" s="33"/>
      <x:c r="I260" s="33"/>
      <x:c r="J260" s="33"/>
      <x:c r="K260" s="33"/>
    </x:row>
    <x:row r="261" ht="14.25" customHeight="1">
      <x:c r="A261" s="33"/>
      <x:c r="B261" s="33"/>
      <x:c r="C261" s="33"/>
      <x:c r="D261" s="33"/>
      <x:c r="E261" s="33"/>
      <x:c r="F261" s="41"/>
      <x:c r="G261" s="33"/>
      <x:c r="H261" s="33"/>
      <x:c r="I261" s="33"/>
      <x:c r="J261" s="33"/>
      <x:c r="K261" s="33"/>
    </x:row>
    <x:row r="262" ht="14.25" customHeight="1">
      <x:c r="A262" s="33"/>
      <x:c r="B262" s="33"/>
      <x:c r="C262" s="33"/>
      <x:c r="D262" s="33"/>
      <x:c r="E262" s="33"/>
      <x:c r="F262" s="41"/>
      <x:c r="G262" s="33"/>
      <x:c r="H262" s="33"/>
      <x:c r="I262" s="33"/>
      <x:c r="J262" s="33"/>
      <x:c r="K262" s="33"/>
    </x:row>
    <x:row r="263" ht="14.25" customHeight="1">
      <x:c r="A263" s="33"/>
      <x:c r="B263" s="33"/>
      <x:c r="C263" s="33"/>
      <x:c r="D263" s="33"/>
      <x:c r="E263" s="33"/>
      <x:c r="F263" s="41"/>
      <x:c r="G263" s="33"/>
      <x:c r="H263" s="33"/>
      <x:c r="I263" s="33"/>
      <x:c r="J263" s="33"/>
      <x:c r="K263" s="33"/>
    </x:row>
    <x:row r="264" ht="14.25" customHeight="1">
      <x:c r="A264" s="33"/>
      <x:c r="B264" s="33"/>
      <x:c r="C264" s="33"/>
      <x:c r="D264" s="33"/>
      <x:c r="E264" s="33"/>
      <x:c r="F264" s="41"/>
      <x:c r="G264" s="33"/>
      <x:c r="H264" s="33"/>
      <x:c r="I264" s="33"/>
      <x:c r="J264" s="33"/>
      <x:c r="K264" s="33"/>
    </x:row>
    <x:row r="265" ht="14.25" customHeight="1">
      <x:c r="A265" s="33"/>
      <x:c r="B265" s="33"/>
      <x:c r="C265" s="33"/>
      <x:c r="D265" s="33"/>
      <x:c r="E265" s="33"/>
      <x:c r="F265" s="41"/>
      <x:c r="G265" s="33"/>
      <x:c r="H265" s="33"/>
      <x:c r="I265" s="33"/>
      <x:c r="J265" s="33"/>
      <x:c r="K265" s="33"/>
    </x:row>
    <x:row r="266" ht="14.25" customHeight="1">
      <x:c r="A266" s="33"/>
      <x:c r="B266" s="33"/>
      <x:c r="C266" s="33"/>
      <x:c r="D266" s="33"/>
      <x:c r="E266" s="33"/>
      <x:c r="F266" s="41"/>
      <x:c r="G266" s="33"/>
      <x:c r="H266" s="33"/>
      <x:c r="I266" s="33"/>
      <x:c r="J266" s="33"/>
      <x:c r="K266" s="33"/>
    </x:row>
    <x:row r="267" ht="14.25" customHeight="1">
      <x:c r="A267" s="33"/>
      <x:c r="B267" s="33"/>
      <x:c r="C267" s="33"/>
      <x:c r="D267" s="33"/>
      <x:c r="E267" s="33"/>
      <x:c r="F267" s="41"/>
      <x:c r="G267" s="33"/>
      <x:c r="H267" s="33"/>
      <x:c r="I267" s="33"/>
      <x:c r="J267" s="33"/>
      <x:c r="K267" s="33"/>
    </x:row>
    <x:row r="268" ht="14.25" customHeight="1">
      <x:c r="A268" s="33"/>
      <x:c r="B268" s="33"/>
      <x:c r="C268" s="33"/>
      <x:c r="D268" s="33"/>
      <x:c r="E268" s="33"/>
      <x:c r="F268" s="41"/>
      <x:c r="G268" s="33"/>
      <x:c r="H268" s="33"/>
      <x:c r="I268" s="33"/>
      <x:c r="J268" s="33"/>
      <x:c r="K268" s="33"/>
    </x:row>
    <x:row r="269" ht="14.25" customHeight="1">
      <x:c r="A269" s="33"/>
      <x:c r="B269" s="33"/>
      <x:c r="C269" s="33"/>
      <x:c r="D269" s="33"/>
      <x:c r="E269" s="33"/>
      <x:c r="F269" s="41"/>
      <x:c r="G269" s="33"/>
      <x:c r="H269" s="33"/>
      <x:c r="I269" s="33"/>
      <x:c r="J269" s="33"/>
      <x:c r="K269" s="33"/>
    </x:row>
    <x:row r="270" ht="14.25" customHeight="1">
      <x:c r="A270" s="33"/>
      <x:c r="B270" s="33"/>
      <x:c r="C270" s="33"/>
      <x:c r="D270" s="33"/>
      <x:c r="E270" s="33"/>
      <x:c r="F270" s="41"/>
      <x:c r="G270" s="33"/>
      <x:c r="H270" s="33"/>
      <x:c r="I270" s="33"/>
      <x:c r="J270" s="33"/>
      <x:c r="K270" s="33"/>
    </x:row>
    <x:row r="271" ht="14.25" customHeight="1">
      <x:c r="A271" s="33"/>
      <x:c r="B271" s="33"/>
      <x:c r="C271" s="33"/>
      <x:c r="D271" s="33"/>
      <x:c r="E271" s="33"/>
      <x:c r="F271" s="41"/>
      <x:c r="G271" s="33"/>
      <x:c r="H271" s="33"/>
      <x:c r="I271" s="33"/>
      <x:c r="J271" s="33"/>
      <x:c r="K271" s="33"/>
    </x:row>
    <x:row r="272" ht="14.25" customHeight="1">
      <x:c r="A272" s="33"/>
      <x:c r="B272" s="33"/>
      <x:c r="C272" s="33"/>
      <x:c r="D272" s="33"/>
      <x:c r="E272" s="33"/>
      <x:c r="F272" s="41"/>
      <x:c r="G272" s="33"/>
      <x:c r="H272" s="33"/>
      <x:c r="I272" s="33"/>
      <x:c r="J272" s="33"/>
      <x:c r="K272" s="33"/>
    </x:row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98:E9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6" t="str">
        <x:v>GERPINA WEAR — PRICE AUDIT (Stock list 3)</x:v>
      </x:c>
      <x:c r="B1" s="166"/>
      <x:c r="C1" s="166"/>
      <x:c r="D1" s="166"/>
      <x:c r="E1" s="166"/>
      <x:c r="F1" s="166"/>
      <x:c r="G1" s="130"/>
      <x:c r="H1" s="130"/>
      <x:c r="I1" s="130"/>
    </x:row>
    <x:row r="2">
      <x:c r="A2" s="130"/>
      <x:c r="B2" s="130"/>
      <x:c r="C2" s="130"/>
      <x:c r="D2" s="167" t="str">
        <x:v>Selling-price changes vs Stock list 2</x:v>
      </x:c>
      <x:c r="E2" s="167"/>
      <x:c r="F2" s="167"/>
      <x:c r="G2" s="167"/>
      <x:c r="H2" s="167"/>
      <x:c r="I2" s="167"/>
    </x:row>
    <x:row r="3">
      <x:c r="A3" s="168" t="str">
        <x:v>Metric</x:v>
      </x:c>
      <x:c r="B3" s="168" t="str">
        <x:v>Value</x:v>
      </x:c>
      <x:c r="C3" s="130"/>
      <x:c r="D3" s="168" t="str">
        <x:v>Row</x:v>
      </x:c>
      <x:c r="E3" s="168" t="str">
        <x:v>Brand</x:v>
      </x:c>
      <x:c r="F3" s="168" t="str">
        <x:v>Item</x:v>
      </x:c>
      <x:c r="G3" s="168" t="str">
        <x:v>Old Current €</x:v>
      </x:c>
      <x:c r="H3" s="168" t="str">
        <x:v>New Current €</x:v>
      </x:c>
      <x:c r="I3" s="168" t="str">
        <x:v>Original €</x:v>
      </x:c>
    </x:row>
    <x:row r="4">
      <x:c r="A4" s="130" t="str">
        <x:v>Products — Women/Men</x:v>
      </x:c>
      <x:c r="B4" s="130" t="n">
        <x:v>66</x:v>
      </x:c>
      <x:c r="C4" s="130"/>
      <x:c r="D4" s="130" t="n">
        <x:v>39</x:v>
      </x:c>
      <x:c r="E4" s="130" t="str">
        <x:v>JDY</x:v>
      </x:c>
      <x:c r="F4" s="130" t="str">
        <x:v>карарана блуза</x:v>
      </x:c>
      <x:c r="G4" s="169" t="n">
        <x:v>10</x:v>
      </x:c>
      <x:c r="H4" s="169" t="n">
        <x:v>16.99</x:v>
      </x:c>
      <x:c r="I4" s="169" t="n">
        <x:v>34.99</x:v>
      </x:c>
    </x:row>
    <x:row r="5">
      <x:c r="A5" s="130" t="str">
        <x:v>Products — Kids</x:v>
      </x:c>
      <x:c r="B5" s="130" t="n">
        <x:v>95</x:v>
      </x:c>
      <x:c r="C5" s="130"/>
      <x:c r="D5" s="130" t="n">
        <x:v>41</x:v>
      </x:c>
      <x:c r="E5" s="130" t="str">
        <x:v>Pepe Jeans</x:v>
      </x:c>
      <x:c r="F5" s="130" t="str">
        <x:v>Гащи Pepe Jeans </x:v>
      </x:c>
      <x:c r="G5" s="169" t="n">
        <x:v>15</x:v>
      </x:c>
      <x:c r="H5" s="169" t="n">
        <x:v>15.99</x:v>
      </x:c>
      <x:c r="I5" s="169" t="n">
        <x:v>34.5</x:v>
      </x:c>
    </x:row>
    <x:row r="6">
      <x:c r="A6" s="130" t="str">
        <x:v>Total products</x:v>
      </x:c>
      <x:c r="B6" s="130" t="n">
        <x:v>161</x:v>
      </x:c>
      <x:c r="C6" s="130"/>
      <x:c r="D6" s="130" t="n">
        <x:v>58</x:v>
      </x:c>
      <x:c r="E6" s="130" t="str">
        <x:v>Only</x:v>
      </x:c>
      <x:c r="F6" s="130" t="str">
        <x:v>Блуза Only</x:v>
      </x:c>
      <x:c r="G6" s="169" t="n">
        <x:v>10</x:v>
      </x:c>
      <x:c r="H6" s="169" t="n">
        <x:v>14.99</x:v>
      </x:c>
      <x:c r="I6" s="169" t="n">
        <x:v>39.99</x:v>
      </x:c>
    </x:row>
    <x:row r="7">
      <x:c r="A7" s="130" t="str">
        <x:v>Selling-price total — Women/Men</x:v>
      </x:c>
      <x:c r="B7" s="169" t="n">
        <x:v>1382.48</x:v>
      </x:c>
      <x:c r="C7" s="130"/>
      <x:c r="D7" s="130"/>
      <x:c r="E7" s="130"/>
      <x:c r="F7" s="130"/>
      <x:c r="G7" s="130"/>
      <x:c r="H7" s="130"/>
      <x:c r="I7" s="130"/>
    </x:row>
    <x:row r="8">
      <x:c r="A8" s="130" t="str">
        <x:v>Selling-price total — Kids</x:v>
      </x:c>
      <x:c r="B8" s="169" t="n">
        <x:v>841.0600000000001</x:v>
      </x:c>
      <x:c r="C8" s="130"/>
      <x:c r="D8" s="130"/>
      <x:c r="E8" s="130"/>
      <x:c r="F8" s="130"/>
      <x:c r="G8" s="130"/>
      <x:c r="H8" s="130"/>
      <x:c r="I8" s="130"/>
    </x:row>
    <x:row r="9">
      <x:c r="A9" s="130" t="str">
        <x:v>Selling-price total — all listed</x:v>
      </x:c>
      <x:c r="B9" s="169" t="n">
        <x:v>2223.54</x:v>
      </x:c>
      <x:c r="C9" s="130"/>
      <x:c r="D9" s="130"/>
      <x:c r="E9" s="130"/>
      <x:c r="F9" s="130"/>
      <x:c r="G9" s="130"/>
      <x:c r="H9" s="130"/>
      <x:c r="I9" s="130"/>
    </x:row>
    <x:row r="10">
      <x:c r="A10" s="130" t="str">
        <x:v>Kids original prices missing in source</x:v>
      </x:c>
      <x:c r="B10" s="130" t="n">
        <x:v>95</x:v>
      </x:c>
      <x:c r="C10" s="130"/>
      <x:c r="D10" s="130"/>
      <x:c r="E10" s="130"/>
      <x:c r="F10" s="130"/>
      <x:c r="G10" s="130"/>
      <x:c r="H10" s="130"/>
      <x:c r="I10" s="130"/>
    </x:row>
    <x:row r="11">
      <x:c r="A11" s="130"/>
      <x:c r="B11" s="130"/>
      <x:c r="C11" s="130"/>
      <x:c r="D11" s="130"/>
      <x:c r="E11" s="130"/>
      <x:c r="F11" s="130"/>
      <x:c r="G11" s="130"/>
      <x:c r="H11" s="130"/>
      <x:c r="I11" s="130"/>
    </x:row>
    <x:row r="12">
      <x:c r="A12" s="170" t="str">
        <x:v>Reference-price methodology for missing originals</x:v>
      </x:c>
      <x:c r="B12" s="170"/>
      <x:c r="C12" s="170"/>
      <x:c r="D12" s="170"/>
      <x:c r="E12" s="170"/>
      <x:c r="F12" s="170"/>
      <x:c r="G12" s="130"/>
      <x:c r="H12" s="130"/>
      <x:c r="I12" s="130"/>
    </x:row>
    <x:row r="13">
      <x:c r="A13" s="130" t="str">
        <x:v>1</x:v>
      </x:c>
      <x:c r="B13" s="130" t="str">
        <x:v>Exact SKU/model codes are not available for the children's items, so exact original retail prices cannot be proven from the spreadsheet alone.</x:v>
      </x:c>
      <x:c r="C13" s="130"/>
      <x:c r="D13" s="130"/>
      <x:c r="E13" s="130"/>
      <x:c r="F13" s="130"/>
      <x:c r="G13" s="130"/>
      <x:c r="H13" s="130"/>
      <x:c r="I13" s="130"/>
    </x:row>
    <x:row r="14">
      <x:c r="A14" s="130" t="str">
        <x:v>2</x:v>
      </x:c>
      <x:c r="B14" s="130" t="str">
        <x:v>For missing Minoti originals, comparable current Minoti retail/regular prices were used as REFERENCE / DEMO values.</x:v>
      </x:c>
      <x:c r="C14" s="130"/>
      <x:c r="D14" s="130"/>
      <x:c r="E14" s="130"/>
      <x:c r="F14" s="130"/>
      <x:c r="G14" s="130"/>
      <x:c r="H14" s="130"/>
      <x:c r="I14" s="130"/>
    </x:row>
    <x:row r="15">
      <x:c r="A15" s="130" t="str">
        <x:v>3</x:v>
      </x:c>
      <x:c r="B15" s="130" t="str">
        <x:v>Examples used: T-shirts/tops, leggings, jackets, sets, swimwear, socks and denim from Minoti's current catalogue.</x:v>
      </x:c>
      <x:c r="C15" s="130"/>
      <x:c r="D15" s="130"/>
      <x:c r="E15" s="130"/>
      <x:c r="F15" s="130"/>
      <x:c r="G15" s="130"/>
      <x:c r="H15" s="130"/>
      <x:c r="I15" s="130"/>
    </x:row>
    <x:row r="16">
      <x:c r="A16" s="130" t="str">
        <x:v>4</x:v>
      </x:c>
      <x:c r="B16" s="130" t="str">
        <x:v>Some supplementary Bulgarian-market references come from Baby.bg/SportsDirect; Ozone's Minoti catalogue is not reliably indexable by the generic item names.</x:v>
      </x:c>
      <x:c r="C16" s="130"/>
      <x:c r="D16" s="130"/>
      <x:c r="E16" s="130"/>
      <x:c r="F16" s="130"/>
      <x:c r="G16" s="130"/>
      <x:c r="H16" s="130"/>
      <x:c r="I16" s="130"/>
    </x:row>
    <x:row r="17">
      <x:c r="A17" s="130" t="str">
        <x:v>5</x:v>
      </x:c>
      <x:c r="B17" s="130" t="str">
        <x:v>REFERENCE / DEMO values must not be presented as a legally valid previous-price discount on the live store unless the exact product/SKU price is verified.</x:v>
      </x:c>
      <x:c r="C17" s="130"/>
      <x:c r="D17" s="130"/>
      <x:c r="E17" s="130"/>
      <x:c r="F17" s="130"/>
      <x:c r="G17" s="130"/>
      <x:c r="H17" s="130"/>
      <x:c r="I17" s="130"/>
    </x:row>
    <x:row r="18">
      <x:c r="A18" s="130" t="str">
        <x:v>6</x:v>
      </x:c>
      <x:c r="B18" s="130" t="str">
        <x:v>The original uploaded Stock list 3 remains untouched; this is a reviewed copy.</x:v>
      </x:c>
      <x:c r="C18" s="130"/>
      <x:c r="D18" s="130"/>
      <x:c r="E18" s="130"/>
      <x:c r="F18" s="130"/>
      <x:c r="G18" s="130"/>
      <x:c r="H18" s="130"/>
      <x:c r="I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  <x:c r="I19" s="130"/>
    </x:row>
    <x:row r="20">
      <x:c r="A20" s="171" t="str">
        <x:v>Reference</x:v>
      </x:c>
      <x:c r="B20" s="171" t="str">
        <x:v>URL</x:v>
      </x:c>
      <x:c r="C20" s="130"/>
      <x:c r="D20" s="130"/>
      <x:c r="E20" s="130"/>
      <x:c r="F20" s="130"/>
      <x:c r="G20" s="130"/>
      <x:c r="H20" s="130"/>
      <x:c r="I20" s="130"/>
    </x:row>
    <x:row r="21">
      <x:c r="A21" s="130" t="str">
        <x:v>Minoti baby catalogue</x:v>
      </x:c>
      <x:c r="B21" s="130" t="str">
        <x:v>https://minoti.com/nl/collections/baby</x:v>
      </x:c>
      <x:c r="C21" s="130"/>
      <x:c r="D21" s="130"/>
      <x:c r="E21" s="130"/>
      <x:c r="F21" s="130"/>
      <x:c r="G21" s="130"/>
      <x:c r="H21" s="130"/>
      <x:c r="I21" s="130"/>
    </x:row>
    <x:row r="22">
      <x:c r="A22" s="130" t="str">
        <x:v>Minoti kids catalogue</x:v>
      </x:c>
      <x:c r="B22" s="130" t="str">
        <x:v>https://minoti.com/collections/kids</x:v>
      </x:c>
      <x:c r="C22" s="130"/>
      <x:c r="D22" s="130"/>
      <x:c r="E22" s="130"/>
      <x:c r="F22" s="130"/>
      <x:c r="G22" s="130"/>
      <x:c r="H22" s="130"/>
      <x:c r="I22" s="130"/>
    </x:row>
    <x:row r="23">
      <x:c r="A23" s="130" t="str">
        <x:v>Minoti swimwear</x:v>
      </x:c>
      <x:c r="B23" s="130" t="str">
        <x:v>https://minoti.com/collections/minoti-kids-swimwear?page=2</x:v>
      </x:c>
      <x:c r="C23" s="130"/>
      <x:c r="D23" s="130"/>
      <x:c r="E23" s="130"/>
      <x:c r="F23" s="130"/>
      <x:c r="G23" s="130"/>
      <x:c r="H23" s="130"/>
      <x:c r="I23" s="130"/>
    </x:row>
    <x:row r="24">
      <x:c r="A24" s="130" t="str">
        <x:v>Minoti accessories</x:v>
      </x:c>
      <x:c r="B24" s="130" t="str">
        <x:v>https://minoti.com/collections/baby-accessories</x:v>
      </x:c>
      <x:c r="C24" s="130"/>
      <x:c r="D24" s="130"/>
      <x:c r="E24" s="130"/>
      <x:c r="F24" s="130"/>
      <x:c r="G24" s="130"/>
      <x:c r="H24" s="130"/>
      <x:c r="I24" s="130"/>
    </x:row>
    <x:row r="25">
      <x:c r="A25" s="130" t="str">
        <x:v>SportsDirect Minoti</x:v>
      </x:c>
      <x:c r="B25" s="130" t="str">
        <x:v>https://bg.sportsdirect.com/minoti</x:v>
      </x:c>
      <x:c r="C25" s="130"/>
      <x:c r="D25" s="130"/>
      <x:c r="E25" s="130"/>
      <x:c r="F25" s="130"/>
      <x:c r="G25" s="130"/>
      <x:c r="H25" s="130"/>
      <x:c r="I25" s="130"/>
    </x:row>
  </x:sheetData>
  <x:mergeCells>
    <x:mergeCell ref="A1:F1"/>
    <x:mergeCell ref="D2:I2"/>
    <x:mergeCell ref="A12:F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9" max="9" width="60" hidden="0" customWidth="1"/>
  </x:cols>
  <x:sheetData>
    <x:row r="1">
      <x:c r="A1" s="231" t="str">
        <x:v>Sheet</x:v>
      </x:c>
      <x:c r="B1" s="231" t="str">
        <x:v>Row</x:v>
      </x:c>
      <x:c r="C1" s="231" t="str">
        <x:v>Old Brand</x:v>
      </x:c>
      <x:c r="D1" s="231" t="str">
        <x:v>New Brand</x:v>
      </x:c>
      <x:c r="E1" s="231" t="str">
        <x:v>Old Product Name</x:v>
      </x:c>
      <x:c r="F1" s="231" t="str">
        <x:v>New Product Name</x:v>
      </x:c>
      <x:c r="G1" s="231" t="str">
        <x:v>Reason</x:v>
      </x:c>
      <x:c r="I1" s="130" t="str">
        <x:v>Naming rule</x:v>
      </x:c>
    </x:row>
    <x:row r="2">
      <x:c r="A2" s="130" t="str">
        <x:v>ЖЕНСКИ И МЪЖКИ ДРЕХИ</x:v>
      </x:c>
      <x:c r="B2" s="130" t="n">
        <x:v>3</x:v>
      </x:c>
      <x:c r="C2" s="130" t="str">
        <x:v>Oneil</x:v>
      </x:c>
      <x:c r="D2" s="130" t="str">
        <x:v>O'Neill</x:v>
      </x:c>
      <x:c r="E2" s="130" t="str">
        <x:v>Елек O'Neil </x:v>
      </x:c>
      <x:c r="F2" s="130" t="str">
        <x:v>Елек</x:v>
      </x:c>
      <x:c r="G2" s="130" t="str">
        <x:v>Марка и име са нормализирани; типът дреха е сверeн с оригиналния списък.</x:v>
      </x:c>
      <x:c r="I2" s="130" t="str">
        <x:v>Column A = canonical brand. Column B = garment/type only. Website can safely display Product Name + Brand without duplicating or mixing brands.</x:v>
      </x:c>
    </x:row>
    <x:row r="3">
      <x:c r="A3" s="130" t="str">
        <x:v>ЖЕНСКИ И МЪЖКИ ДРЕХИ</x:v>
      </x:c>
      <x:c r="B3" s="130" t="n">
        <x:v>4</x:v>
      </x:c>
      <x:c r="C3" s="130" t="str">
        <x:v>Marco Polo</x:v>
      </x:c>
      <x:c r="D3" s="130" t="str">
        <x:v>Marc O'Polo Denim</x:v>
      </x:c>
      <x:c r="E3" s="130" t="str">
        <x:v>Рокля Marc O'Polo Denim</x:v>
      </x:c>
      <x:c r="F3" s="130" t="str">
        <x:v>Рокля</x:v>
      </x:c>
      <x:c r="G3" s="130" t="str">
        <x:v>Марка и име са нормализирани; типът дреха е сверeн с оригиналния списък.</x:v>
      </x:c>
      <x:c r="I3" s="130"/>
    </x:row>
    <x:row r="4">
      <x:c r="A4" s="130" t="str">
        <x:v>ЖЕНСКИ И МЪЖКИ ДРЕХИ</x:v>
      </x:c>
      <x:c r="B4" s="130" t="n">
        <x:v>5</x:v>
      </x:c>
      <x:c r="C4" s="130" t="str">
        <x:v>Levis</x:v>
      </x:c>
      <x:c r="D4" s="130" t="str">
        <x:v>Levi's</x:v>
      </x:c>
      <x:c r="E4" s="130" t="str">
        <x:v>Анцунг Levis</x:v>
      </x:c>
      <x:c r="F4" s="130" t="str">
        <x:v>Анцуг</x:v>
      </x:c>
      <x:c r="G4" s="130" t="str">
        <x:v>Марка и име са нормализирани; типът дреха е сверeн с оригиналния списък.</x:v>
      </x:c>
      <x:c r="I4" s="130" t="str">
        <x:v>Important</x:v>
      </x:c>
    </x:row>
    <x:row r="5">
      <x:c r="A5" s="130" t="str">
        <x:v>ЖЕНСКИ И МЪЖКИ ДРЕХИ</x:v>
      </x:c>
      <x:c r="B5" s="130" t="n">
        <x:v>6</x:v>
      </x:c>
      <x:c r="C5" s="130" t="str">
        <x:v>B Young</x:v>
      </x:c>
      <x:c r="D5" s="130" t="str">
        <x:v>b.young</x:v>
      </x:c>
      <x:c r="E5" s="130" t="str">
        <x:v>Панталон B.Young</x:v>
      </x:c>
      <x:c r="F5" s="130" t="str">
        <x:v>Панталон</x:v>
      </x:c>
      <x:c r="G5" s="130" t="str">
        <x:v>Марка и име са нормализирани; типът дреха е сверeн с оригиналния списък.</x:v>
      </x:c>
      <x:c r="I5" s="130" t="str">
        <x:v>Prices, stock/status notes, reference-price sources and discount calculations were not changed in this naming pass.</x:v>
      </x:c>
    </x:row>
    <x:row r="6">
      <x:c r="A6" s="130" t="str">
        <x:v>ЖЕНСКИ И МЪЖКИ ДРЕХИ</x:v>
      </x:c>
      <x:c r="B6" s="130" t="n">
        <x:v>7</x:v>
      </x:c>
      <x:c r="C6" s="130" t="str">
        <x:v>GAP</x:v>
      </x:c>
      <x:c r="D6" s="130" t="str">
        <x:v>GAP</x:v>
      </x:c>
      <x:c r="E6" s="130" t="str">
        <x:v>Рокля GAP</x:v>
      </x:c>
      <x:c r="F6" s="130" t="str">
        <x:v>Рокля</x:v>
      </x:c>
      <x:c r="G6" s="130" t="str">
        <x:v>Марка и име са нормализирани; типът дреха е сверeн с оригиналния списък.</x:v>
      </x:c>
      <x:c r="I6" s="130"/>
    </x:row>
    <x:row r="7">
      <x:c r="A7" s="130" t="str">
        <x:v>ЖЕНСКИ И МЪЖКИ ДРЕХИ</x:v>
      </x:c>
      <x:c r="B7" s="130" t="n">
        <x:v>8</x:v>
      </x:c>
      <x:c r="C7" s="130" t="str">
        <x:v>Superdry</x:v>
      </x:c>
      <x:c r="D7" s="130" t="str">
        <x:v>Superdry</x:v>
      </x:c>
      <x:c r="E7" s="130" t="str">
        <x:v>Яке Superdry</x:v>
      </x:c>
      <x:c r="F7" s="130" t="str">
        <x:v>Яке</x:v>
      </x:c>
      <x:c r="G7" s="130" t="str">
        <x:v>Марка и име са нормализирани; типът дреха е сверeн с оригиналния списък.</x:v>
      </x:c>
      <x:c r="I7" s="130" t="str">
        <x:v>Still uncertain</x:v>
      </x:c>
    </x:row>
    <x:row r="8">
      <x:c r="A8" s="130" t="str">
        <x:v>ЖЕНСКИ И МЪЖКИ ДРЕХИ</x:v>
      </x:c>
      <x:c r="B8" s="130" t="n">
        <x:v>9</x:v>
      </x:c>
      <x:c r="C8" s="130" t="str">
        <x:v>Guess</x:v>
      </x:c>
      <x:c r="D8" s="130" t="str">
        <x:v>Guess</x:v>
      </x:c>
      <x:c r="E8" s="130" t="str">
        <x:v>Рокля Even&amp;Odd</x:v>
      </x:c>
      <x:c r="F8" s="130" t="str">
        <x:v>Рокля</x:v>
      </x:c>
      <x:c r="G8" s="130" t="str">
        <x:v>Марка и име са нормализирани; типът дреха е сверeн с оригиналния списък.</x:v>
      </x:c>
      <x:c r="I8" s="130" t="str">
        <x:v>Pepe Jeans row remains 'Гащи' until a photo confirms the exact garment type. Kids entries containing '(комплект?)' remain intentionally uncertain until photos are available.</x:v>
      </x:c>
    </x:row>
    <x:row r="9">
      <x:c r="A9" s="130" t="str">
        <x:v>ЖЕНСКИ И МЪЖКИ ДРЕХИ</x:v>
      </x:c>
      <x:c r="B9" s="130" t="n">
        <x:v>10</x:v>
      </x:c>
      <x:c r="C9" s="130" t="str">
        <x:v>Lauren</x:v>
      </x:c>
      <x:c r="D9" s="130" t="str">
        <x:v>Lauren Ralph Lauren</x:v>
      </x:c>
      <x:c r="E9" s="130" t="str">
        <x:v>Рокля Ralph Lauren</x:v>
      </x:c>
      <x:c r="F9" s="130" t="str">
        <x:v>Рокля</x:v>
      </x:c>
      <x:c r="G9" s="130" t="str">
        <x:v>Марка и име са нормализирани; типът дреха е сверeн с оригиналния списък.</x:v>
      </x:c>
    </x:row>
    <x:row r="10">
      <x:c r="A10" s="130" t="str">
        <x:v>ЖЕНСКИ И МЪЖКИ ДРЕХИ</x:v>
      </x:c>
      <x:c r="B10" s="130" t="n">
        <x:v>11</x:v>
      </x:c>
      <x:c r="C10" s="130" t="str">
        <x:v>Edited</x:v>
      </x:c>
      <x:c r="D10" s="130" t="str">
        <x:v>EDITED</x:v>
      </x:c>
      <x:c r="E10" s="130" t="str">
        <x:v>Бюстие Edited</x:v>
      </x:c>
      <x:c r="F10" s="130" t="str">
        <x:v>Бюстие</x:v>
      </x:c>
      <x:c r="G10" s="130" t="str">
        <x:v>Марка и име са нормализирани; типът дреха е сверeн с оригиналния списък.</x:v>
      </x:c>
    </x:row>
    <x:row r="11">
      <x:c r="A11" s="130" t="str">
        <x:v>ЖЕНСКИ И МЪЖКИ ДРЕХИ</x:v>
      </x:c>
      <x:c r="B11" s="130" t="n">
        <x:v>13</x:v>
      </x:c>
      <x:c r="C11" s="130" t="str">
        <x:v>Vila</x:v>
      </x:c>
      <x:c r="D11" s="130" t="str">
        <x:v>VILA</x:v>
      </x:c>
      <x:c r="E11" s="130" t="str">
        <x:v>Рокля Vila</x:v>
      </x:c>
      <x:c r="F11" s="130" t="str">
        <x:v>Рокля</x:v>
      </x:c>
      <x:c r="G11" s="130" t="str">
        <x:v>Марка и име са нормализирани; типът дреха е сверeн с оригиналния списък.</x:v>
      </x:c>
    </x:row>
    <x:row r="12">
      <x:c r="A12" s="130" t="str">
        <x:v>ЖЕНСКИ И МЪЖКИ ДРЕХИ</x:v>
      </x:c>
      <x:c r="B12" s="130" t="n">
        <x:v>14</x:v>
      </x:c>
      <x:c r="C12" s="130" t="str">
        <x:v>Only</x:v>
      </x:c>
      <x:c r="D12" s="130" t="str">
        <x:v>ONLY</x:v>
      </x:c>
      <x:c r="E12" s="130" t="str">
        <x:v>Пола Only</x:v>
      </x:c>
      <x:c r="F12" s="130" t="str">
        <x:v>Пола</x:v>
      </x:c>
      <x:c r="G12" s="130" t="str">
        <x:v>Марка и име са нормализирани; типът дреха е сверeн с оригиналния списък.</x:v>
      </x:c>
    </x:row>
    <x:row r="13">
      <x:c r="A13" s="130" t="str">
        <x:v>ЖЕНСКИ И МЪЖКИ ДРЕХИ</x:v>
      </x:c>
      <x:c r="B13" s="130" t="n">
        <x:v>16</x:v>
      </x:c>
      <x:c r="C13" s="130" t="str">
        <x:v>GWAN</x:v>
      </x:c>
      <x:c r="D13" s="130" t="str">
        <x:v>Wall G</x:v>
      </x:c>
      <x:c r="E13" s="130" t="str">
        <x:v>Пола тип панталон Wall G</x:v>
      </x:c>
      <x:c r="F13" s="130" t="str">
        <x:v>Пола тип панталон</x:v>
      </x:c>
      <x:c r="G13" s="130" t="str">
        <x:v>Марка и име са нормализирани; типът дреха е сверeн с оригиналния списък.</x:v>
      </x:c>
    </x:row>
    <x:row r="14">
      <x:c r="A14" s="130" t="str">
        <x:v>ЖЕНСКИ И МЪЖКИ ДРЕХИ</x:v>
      </x:c>
      <x:c r="B14" s="130" t="n">
        <x:v>17</x:v>
      </x:c>
      <x:c r="C14" s="130" t="str">
        <x:v>Cortefiel</x:v>
      </x:c>
      <x:c r="D14" s="130" t="str">
        <x:v>Cortefiel</x:v>
      </x:c>
      <x:c r="E14" s="130" t="str">
        <x:v>Панталон Cortefiel </x:v>
      </x:c>
      <x:c r="F14" s="130" t="str">
        <x:v>Панталон</x:v>
      </x:c>
      <x:c r="G14" s="130" t="str">
        <x:v>Марка и име са нормализирани; типът дреха е сверeн с оригиналния списък.</x:v>
      </x:c>
    </x:row>
    <x:row r="15">
      <x:c r="A15" s="130" t="str">
        <x:v>ЖЕНСКИ И МЪЖКИ ДРЕХИ</x:v>
      </x:c>
      <x:c r="B15" s="130" t="n">
        <x:v>18</x:v>
      </x:c>
      <x:c r="C15" s="130" t="str">
        <x:v>Karitraa</x:v>
      </x:c>
      <x:c r="D15" s="130" t="str">
        <x:v>Kari Traa</x:v>
      </x:c>
      <x:c r="E15" s="130" t="str">
        <x:v>Потник</x:v>
      </x:c>
      <x:c r="F15" s="130" t="str">
        <x:v>Потник</x:v>
      </x:c>
      <x:c r="G15" s="130" t="str">
        <x:v>Марка и име са нормализирани; типът дреха е сверeн с оригиналния списък.</x:v>
      </x:c>
    </x:row>
    <x:row r="16">
      <x:c r="A16" s="130" t="str">
        <x:v>ЖЕНСКИ И МЪЖКИ ДРЕХИ</x:v>
      </x:c>
      <x:c r="B16" s="130" t="n">
        <x:v>19</x:v>
      </x:c>
      <x:c r="C16" s="130" t="str">
        <x:v>Even And Odd</x:v>
      </x:c>
      <x:c r="D16" s="130" t="str">
        <x:v>Even&amp;Odd</x:v>
      </x:c>
      <x:c r="E16" s="130" t="str">
        <x:v>Суитчър Even&amp;Odd</x:v>
      </x:c>
      <x:c r="F16" s="130" t="str">
        <x:v>Суитшърт</x:v>
      </x:c>
      <x:c r="G16" s="130" t="str">
        <x:v>Марка и име са нормализирани; типът дреха е сверeн с оригиналния списък.</x:v>
      </x:c>
    </x:row>
    <x:row r="17">
      <x:c r="A17" s="130" t="str">
        <x:v>ЖЕНСКИ И МЪЖКИ ДРЕХИ</x:v>
      </x:c>
      <x:c r="B17" s="130" t="n">
        <x:v>20</x:v>
      </x:c>
      <x:c r="C17" s="130" t="str">
        <x:v>Only </x:v>
      </x:c>
      <x:c r="D17" s="130" t="str">
        <x:v>ONLY</x:v>
      </x:c>
      <x:c r="E17" s="130" t="str">
        <x:v>Зимно Яке</x:v>
      </x:c>
      <x:c r="F17" s="130" t="str">
        <x:v>Зимно яке</x:v>
      </x:c>
      <x:c r="G17" s="130" t="str">
        <x:v>Марка и име са нормализирани; типът дреха е сверeн с оригиналния списък.</x:v>
      </x:c>
    </x:row>
    <x:row r="18">
      <x:c r="A18" s="130" t="str">
        <x:v>ЖЕНСКИ И МЪЖКИ ДРЕХИ</x:v>
      </x:c>
      <x:c r="B18" s="130" t="n">
        <x:v>22</x:v>
      </x:c>
      <x:c r="C18" s="130" t="str">
        <x:v>Adidas</x:v>
      </x:c>
      <x:c r="D18" s="130" t="str">
        <x:v>adidas</x:v>
      </x:c>
      <x:c r="E18" s="130" t="str">
        <x:v>Спортен Клин Adidas</x:v>
      </x:c>
      <x:c r="F18" s="130" t="str">
        <x:v>Спортен клин</x:v>
      </x:c>
      <x:c r="G18" s="130" t="str">
        <x:v>Марка и име са нормализирани; типът дреха е сверeн с оригиналния списък.</x:v>
      </x:c>
    </x:row>
    <x:row r="19">
      <x:c r="A19" s="130" t="str">
        <x:v>ЖЕНСКИ И МЪЖКИ ДРЕХИ</x:v>
      </x:c>
      <x:c r="B19" s="130" t="n">
        <x:v>23</x:v>
      </x:c>
      <x:c r="C19" s="130" t="str">
        <x:v>Even And Odd</x:v>
      </x:c>
      <x:c r="D19" s="130" t="str">
        <x:v>Even&amp;Odd</x:v>
      </x:c>
      <x:c r="E19" s="130" t="str">
        <x:v>Спортен Клин Even&amp;Odd</x:v>
      </x:c>
      <x:c r="F19" s="130" t="str">
        <x:v>Спортен клин</x:v>
      </x:c>
      <x:c r="G19" s="130" t="str">
        <x:v>Марка и име са нормализирани; типът дреха е сверeн с оригиналния списък.</x:v>
      </x:c>
    </x:row>
    <x:row r="20">
      <x:c r="A20" s="130" t="str">
        <x:v>ЖЕНСКИ И МЪЖКИ ДРЕХИ</x:v>
      </x:c>
      <x:c r="B20" s="130" t="n">
        <x:v>24</x:v>
      </x:c>
      <x:c r="C20" s="130" t="str">
        <x:v>NA-KD</x:v>
      </x:c>
      <x:c r="D20" s="130" t="str">
        <x:v>NA-KD</x:v>
      </x:c>
      <x:c r="E20" s="130" t="str">
        <x:v>Палто NA-KD</x:v>
      </x:c>
      <x:c r="F20" s="130" t="str">
        <x:v>Палто</x:v>
      </x:c>
      <x:c r="G20" s="130" t="str">
        <x:v>Марка и име са нормализирани; типът дреха е сверeн с оригиналния списък.</x:v>
      </x:c>
    </x:row>
    <x:row r="21">
      <x:c r="A21" s="130" t="str">
        <x:v>ЖЕНСКИ И МЪЖКИ ДРЕХИ</x:v>
      </x:c>
      <x:c r="B21" s="130" t="n">
        <x:v>25</x:v>
      </x:c>
      <x:c r="C21" s="130" t="str">
        <x:v>Vila</x:v>
      </x:c>
      <x:c r="D21" s="130" t="str">
        <x:v>VILA</x:v>
      </x:c>
      <x:c r="E21" s="130" t="str">
        <x:v>Блуза Vila</x:v>
      </x:c>
      <x:c r="F21" s="130" t="str">
        <x:v>Блуза</x:v>
      </x:c>
      <x:c r="G21" s="130" t="str">
        <x:v>Марка и име са нормализирани; типът дреха е сверeн с оригиналния списък.</x:v>
      </x:c>
    </x:row>
    <x:row r="22">
      <x:c r="A22" s="130" t="str">
        <x:v>ЖЕНСКИ И МЪЖКИ ДРЕХИ</x:v>
      </x:c>
      <x:c r="B22" s="130" t="n">
        <x:v>26</x:v>
      </x:c>
      <x:c r="C22" s="130" t="str">
        <x:v>Pieces</x:v>
      </x:c>
      <x:c r="D22" s="130" t="str">
        <x:v>PIECES</x:v>
      </x:c>
      <x:c r="E22" s="130" t="str">
        <x:v>Блуза</x:v>
      </x:c>
      <x:c r="F22" s="130" t="str">
        <x:v>Блуза</x:v>
      </x:c>
      <x:c r="G22" s="130" t="str">
        <x:v>Марка и име са нормализирани; типът дреха е сверeн с оригиналния списък.</x:v>
      </x:c>
    </x:row>
    <x:row r="23">
      <x:c r="A23" s="130" t="str">
        <x:v>ЖЕНСКИ И МЪЖКИ ДРЕХИ</x:v>
      </x:c>
      <x:c r="B23" s="130" t="n">
        <x:v>27</x:v>
      </x:c>
      <x:c r="C23" s="130" t="str">
        <x:v>LeGer</x:v>
      </x:c>
      <x:c r="D23" s="130" t="str">
        <x:v>LeGer</x:v>
      </x:c>
      <x:c r="E23" s="130" t="str">
        <x:v>Дънки LeGer</x:v>
      </x:c>
      <x:c r="F23" s="130" t="str">
        <x:v>Дънки</x:v>
      </x:c>
      <x:c r="G23" s="130" t="str">
        <x:v>Марка и име са нормализирани; типът дреха е сверeн с оригиналния списък.</x:v>
      </x:c>
    </x:row>
    <x:row r="24">
      <x:c r="A24" s="130" t="str">
        <x:v>ЖЕНСКИ И МЪЖКИ ДРЕХИ</x:v>
      </x:c>
      <x:c r="B24" s="130" t="n">
        <x:v>28</x:v>
      </x:c>
      <x:c r="C24" s="130" t="str">
        <x:v>JDY</x:v>
      </x:c>
      <x:c r="D24" s="130" t="str">
        <x:v>JDY</x:v>
      </x:c>
      <x:c r="E24" s="130" t="str">
        <x:v>Блуза JDY</x:v>
      </x:c>
      <x:c r="F24" s="130" t="str">
        <x:v>Блуза</x:v>
      </x:c>
      <x:c r="G24" s="130" t="str">
        <x:v>Марка и име са нормализирани; типът дреха е сверeн с оригиналния списък.</x:v>
      </x:c>
    </x:row>
    <x:row r="25">
      <x:c r="A25" s="130" t="str">
        <x:v>ЖЕНСКИ И МЪЖКИ ДРЕХИ</x:v>
      </x:c>
      <x:c r="B25" s="130" t="n">
        <x:v>29</x:v>
      </x:c>
      <x:c r="C25" s="130" t="str">
        <x:v>Only</x:v>
      </x:c>
      <x:c r="D25" s="130" t="str">
        <x:v>ONLY</x:v>
      </x:c>
      <x:c r="E25" s="130" t="str">
        <x:v>Кожена Пола/Рокля</x:v>
      </x:c>
      <x:c r="F25" s="130" t="str">
        <x:v>Кожена пола/рокля</x:v>
      </x:c>
      <x:c r="G25" s="130" t="str">
        <x:v>Марка и име са нормализирани; типът дреха е сверeн с оригиналния списък.</x:v>
      </x:c>
    </x:row>
    <x:row r="26">
      <x:c r="A26" s="130" t="str">
        <x:v>ЖЕНСКИ И МЪЖКИ ДРЕХИ</x:v>
      </x:c>
      <x:c r="B26" s="130" t="n">
        <x:v>30</x:v>
      </x:c>
      <x:c r="C26" s="130" t="str">
        <x:v>Versache</x:v>
      </x:c>
      <x:c r="D26" s="130" t="str">
        <x:v>Versace</x:v>
      </x:c>
      <x:c r="E26" s="130" t="str">
        <x:v>Боди Versace </x:v>
      </x:c>
      <x:c r="F26" s="130" t="str">
        <x:v>Боди</x:v>
      </x:c>
      <x:c r="G26" s="130" t="str">
        <x:v>Марка и име са нормализирани; типът дреха е сверeн с оригиналния списък.</x:v>
      </x:c>
    </x:row>
    <x:row r="27">
      <x:c r="A27" s="130" t="str">
        <x:v>ЖЕНСКИ И МЪЖКИ ДРЕХИ</x:v>
      </x:c>
      <x:c r="B27" s="130" t="n">
        <x:v>31</x:v>
      </x:c>
      <x:c r="C27" s="130" t="str">
        <x:v>Pieces</x:v>
      </x:c>
      <x:c r="D27" s="130" t="str">
        <x:v>PIECES</x:v>
      </x:c>
      <x:c r="E27" s="130" t="str">
        <x:v>Яке Pieces</x:v>
      </x:c>
      <x:c r="F27" s="130" t="str">
        <x:v>Яке</x:v>
      </x:c>
      <x:c r="G27" s="130" t="str">
        <x:v>Марка и име са нормализирани; типът дреха е сверeн с оригиналния списък.</x:v>
      </x:c>
    </x:row>
    <x:row r="28">
      <x:c r="A28" s="130" t="str">
        <x:v>ЖЕНСКИ И МЪЖКИ ДРЕХИ</x:v>
      </x:c>
      <x:c r="B28" s="130" t="n">
        <x:v>32</x:v>
      </x:c>
      <x:c r="C28" s="130" t="str">
        <x:v>Nike</x:v>
      </x:c>
      <x:c r="D28" s="130" t="str">
        <x:v>Nike</x:v>
      </x:c>
      <x:c r="E28" s="130" t="str">
        <x:v>Потник Nike </x:v>
      </x:c>
      <x:c r="F28" s="130" t="str">
        <x:v>Потник</x:v>
      </x:c>
      <x:c r="G28" s="130" t="str">
        <x:v>Марка и име са нормализирани; типът дреха е сверeн с оригиналния списък.</x:v>
      </x:c>
    </x:row>
    <x:row r="29">
      <x:c r="A29" s="130" t="str">
        <x:v>ЖЕНСКИ И МЪЖКИ ДРЕХИ</x:v>
      </x:c>
      <x:c r="B29" s="130" t="n">
        <x:v>33</x:v>
      </x:c>
      <x:c r="C29" s="130" t="str">
        <x:v>Colmar</x:v>
      </x:c>
      <x:c r="D29" s="130" t="str">
        <x:v>Colmar</x:v>
      </x:c>
      <x:c r="E29" s="130" t="str">
        <x:v>къси гащи Colmar</x:v>
      </x:c>
      <x:c r="F29" s="130" t="str">
        <x:v>Къси панталони</x:v>
      </x:c>
      <x:c r="G29" s="130" t="str">
        <x:v>Марка и име са нормализирани; типът дреха е сверeн с оригиналния списък.</x:v>
      </x:c>
    </x:row>
    <x:row r="30">
      <x:c r="A30" s="130" t="str">
        <x:v>ЖЕНСКИ И МЪЖКИ ДРЕХИ</x:v>
      </x:c>
      <x:c r="B30" s="130" t="n">
        <x:v>34</x:v>
      </x:c>
      <x:c r="C30" s="130" t="str">
        <x:v>ODLO</x:v>
      </x:c>
      <x:c r="D30" s="130" t="str">
        <x:v>ODLO</x:v>
      </x:c>
      <x:c r="E30" s="130" t="str">
        <x:v>червена тениска Odlo</x:v>
      </x:c>
      <x:c r="F30" s="130" t="str">
        <x:v>Тениска</x:v>
      </x:c>
      <x:c r="G30" s="130" t="str">
        <x:v>Марка и име са нормализирани; типът дреха е сверeн с оригиналния списък.</x:v>
      </x:c>
    </x:row>
    <x:row r="31">
      <x:c r="A31" s="130" t="str">
        <x:v>ЖЕНСКИ И МЪЖКИ ДРЕХИ</x:v>
      </x:c>
      <x:c r="B31" s="130" t="n">
        <x:v>35</x:v>
      </x:c>
      <x:c r="C31" s="130" t="str">
        <x:v>Adidas</x:v>
      </x:c>
      <x:c r="D31" s="130" t="str">
        <x:v>adidas</x:v>
      </x:c>
      <x:c r="E31" s="130" t="str">
        <x:v>Потник Adidas</x:v>
      </x:c>
      <x:c r="F31" s="130" t="str">
        <x:v>Потник</x:v>
      </x:c>
      <x:c r="G31" s="130" t="str">
        <x:v>Марка и име са нормализирани; типът дреха е сверeн с оригиналния списък.</x:v>
      </x:c>
    </x:row>
    <x:row r="32">
      <x:c r="A32" s="130" t="str">
        <x:v>ЖЕНСКИ И МЪЖКИ ДРЕХИ</x:v>
      </x:c>
      <x:c r="B32" s="130" t="n">
        <x:v>36</x:v>
      </x:c>
      <x:c r="C32" s="130" t="str">
        <x:v>Quicksilver</x:v>
      </x:c>
      <x:c r="D32" s="130" t="str">
        <x:v>Quiksilver</x:v>
      </x:c>
      <x:c r="E32" s="130" t="str">
        <x:v>Джинси</x:v>
      </x:c>
      <x:c r="F32" s="130" t="str">
        <x:v>Дънки</x:v>
      </x:c>
      <x:c r="G32" s="130" t="str">
        <x:v>Марка и име са нормализирани; типът дреха е сверeн с оригиналния списък.</x:v>
      </x:c>
    </x:row>
    <x:row r="33">
      <x:c r="A33" s="130" t="str">
        <x:v>ЖЕНСКИ И МЪЖКИ ДРЕХИ</x:v>
      </x:c>
      <x:c r="B33" s="130" t="n">
        <x:v>37</x:v>
      </x:c>
      <x:c r="C33" s="130" t="str">
        <x:v>Vila</x:v>
      </x:c>
      <x:c r="D33" s="130" t="str">
        <x:v>VILA</x:v>
      </x:c>
      <x:c r="E33" s="130" t="str">
        <x:v>Пола Vila</x:v>
      </x:c>
      <x:c r="F33" s="130" t="str">
        <x:v>Пола</x:v>
      </x:c>
      <x:c r="G33" s="130" t="str">
        <x:v>Марка и име са нормализирани; типът дреха е сверeн с оригиналния списък.</x:v>
      </x:c>
    </x:row>
    <x:row r="34">
      <x:c r="A34" s="130" t="str">
        <x:v>ЖЕНСКИ И МЪЖКИ ДРЕХИ</x:v>
      </x:c>
      <x:c r="B34" s="130" t="n">
        <x:v>38</x:v>
      </x:c>
      <x:c r="C34" s="130" t="str">
        <x:v>Even And Odd</x:v>
      </x:c>
      <x:c r="D34" s="130" t="str">
        <x:v>Even&amp;Odd</x:v>
      </x:c>
      <x:c r="E34" s="130" t="str">
        <x:v>Рокля Even&amp;Odd</x:v>
      </x:c>
      <x:c r="F34" s="130" t="str">
        <x:v>Рокля</x:v>
      </x:c>
      <x:c r="G34" s="130" t="str">
        <x:v>Марка и име са нормализирани; типът дреха е сверeн с оригиналния списък.</x:v>
      </x:c>
    </x:row>
    <x:row r="35">
      <x:c r="A35" s="130" t="str">
        <x:v>ЖЕНСКИ И МЪЖКИ ДРЕХИ</x:v>
      </x:c>
      <x:c r="B35" s="130" t="n">
        <x:v>39</x:v>
      </x:c>
      <x:c r="C35" s="130" t="str">
        <x:v>JDY</x:v>
      </x:c>
      <x:c r="D35" s="130" t="str">
        <x:v>JDY</x:v>
      </x:c>
      <x:c r="E35" s="130" t="str">
        <x:v>карарана блуза</x:v>
      </x:c>
      <x:c r="F35" s="130" t="str">
        <x:v>Карирана блуза</x:v>
      </x:c>
      <x:c r="G35" s="130" t="str">
        <x:v>Марка и име са нормализирани; типът дреха е сверeн с оригиналния списък.</x:v>
      </x:c>
    </x:row>
    <x:row r="36">
      <x:c r="A36" s="130" t="str">
        <x:v>ЖЕНСКИ И МЪЖКИ ДРЕХИ</x:v>
      </x:c>
      <x:c r="B36" s="130" t="n">
        <x:v>40</x:v>
      </x:c>
      <x:c r="C36" s="130" t="str">
        <x:v>Vila</x:v>
      </x:c>
      <x:c r="D36" s="130" t="str">
        <x:v>VILA</x:v>
      </x:c>
      <x:c r="E36" s="130" t="str">
        <x:v>Блуза</x:v>
      </x:c>
      <x:c r="F36" s="130" t="str">
        <x:v>Блуза</x:v>
      </x:c>
      <x:c r="G36" s="130" t="str">
        <x:v>Марка и име са нормализирани; типът дреха е сверeн с оригиналния списък.</x:v>
      </x:c>
    </x:row>
    <x:row r="37">
      <x:c r="A37" s="130" t="str">
        <x:v>ЖЕНСКИ И МЪЖКИ ДРЕХИ</x:v>
      </x:c>
      <x:c r="B37" s="130" t="n">
        <x:v>41</x:v>
      </x:c>
      <x:c r="C37" s="130" t="str">
        <x:v>Pepe Jeans</x:v>
      </x:c>
      <x:c r="D37" s="130" t="str">
        <x:v>Pepe Jeans</x:v>
      </x:c>
      <x:c r="E37" s="130" t="str">
        <x:v>Гащи Pepe Jeans </x:v>
      </x:c>
      <x:c r="F37" s="130" t="str">
        <x:v>Гащи</x:v>
      </x:c>
      <x:c r="G37" s="130" t="str">
        <x:v>Марка и име са нормализирани; типът дреха е сверeн с оригиналния списък.</x:v>
      </x:c>
    </x:row>
    <x:row r="38">
      <x:c r="A38" s="130" t="str">
        <x:v>ЖЕНСКИ И МЪЖКИ ДРЕХИ</x:v>
      </x:c>
      <x:c r="B38" s="130" t="n">
        <x:v>42</x:v>
      </x:c>
      <x:c r="C38" s="130" t="str">
        <x:v>Nike</x:v>
      </x:c>
      <x:c r="D38" s="130" t="str">
        <x:v>Nike</x:v>
      </x:c>
      <x:c r="E38" s="130" t="str">
        <x:v>Суитчър Nike</x:v>
      </x:c>
      <x:c r="F38" s="130" t="str">
        <x:v>Суитшърт</x:v>
      </x:c>
      <x:c r="G38" s="130" t="str">
        <x:v>Марка и име са нормализирани; типът дреха е сверeн с оригиналния списък.</x:v>
      </x:c>
    </x:row>
    <x:row r="39">
      <x:c r="A39" s="130" t="str">
        <x:v>ЖЕНСКИ И МЪЖКИ ДРЕХИ</x:v>
      </x:c>
      <x:c r="B39" s="130" t="n">
        <x:v>43</x:v>
      </x:c>
      <x:c r="C39" s="130" t="str">
        <x:v>Vila</x:v>
      </x:c>
      <x:c r="D39" s="130" t="str">
        <x:v>VILA</x:v>
      </x:c>
      <x:c r="E39" s="130" t="str">
        <x:v>Рокля Vila</x:v>
      </x:c>
      <x:c r="F39" s="130" t="str">
        <x:v>Рокля</x:v>
      </x:c>
      <x:c r="G39" s="130" t="str">
        <x:v>Марка и име са нормализирани; типът дреха е сверeн с оригиналния списък.</x:v>
      </x:c>
    </x:row>
    <x:row r="40">
      <x:c r="A40" s="130" t="str">
        <x:v>ЖЕНСКИ И МЪЖКИ ДРЕХИ</x:v>
      </x:c>
      <x:c r="B40" s="130" t="n">
        <x:v>44</x:v>
      </x:c>
      <x:c r="C40" s="130" t="str">
        <x:v>NG Order</x:v>
      </x:c>
      <x:c r="D40" s="130" t="str">
        <x:v>New Look</x:v>
      </x:c>
      <x:c r="E40" s="130" t="str">
        <x:v>Панталон New Look</x:v>
      </x:c>
      <x:c r="F40" s="130" t="str">
        <x:v>Панталон</x:v>
      </x:c>
      <x:c r="G40" s="130" t="str">
        <x:v>Марка и име са нормализирани; типът дреха е сверeн с оригиналния списък.</x:v>
      </x:c>
    </x:row>
    <x:row r="41">
      <x:c r="A41" s="130" t="str">
        <x:v>ЖЕНСКИ И МЪЖКИ ДРЕХИ</x:v>
      </x:c>
      <x:c r="B41" s="130" t="n">
        <x:v>45</x:v>
      </x:c>
      <x:c r="C41" s="130" t="str">
        <x:v>Even And Odd</x:v>
      </x:c>
      <x:c r="D41" s="130" t="str">
        <x:v>Even&amp;Odd</x:v>
      </x:c>
      <x:c r="E41" s="130" t="str">
        <x:v>Рокля Even&amp;Odd</x:v>
      </x:c>
      <x:c r="F41" s="130" t="str">
        <x:v>Рокля</x:v>
      </x:c>
      <x:c r="G41" s="130" t="str">
        <x:v>Марка и име са нормализирани; типът дреха е сверeн с оригиналния списък.</x:v>
      </x:c>
    </x:row>
    <x:row r="42">
      <x:c r="A42" s="130" t="str">
        <x:v>ЖЕНСКИ И МЪЖКИ ДРЕХИ</x:v>
      </x:c>
      <x:c r="B42" s="130" t="n">
        <x:v>46</x:v>
      </x:c>
      <x:c r="C42" s="130" t="str">
        <x:v>Vila</x:v>
      </x:c>
      <x:c r="D42" s="130" t="str">
        <x:v>VILA</x:v>
      </x:c>
      <x:c r="E42" s="130" t="str">
        <x:v>Блуза</x:v>
      </x:c>
      <x:c r="F42" s="130" t="str">
        <x:v>Блуза</x:v>
      </x:c>
      <x:c r="G42" s="130" t="str">
        <x:v>Марка и име са нормализирани; типът дреха е сверeн с оригиналния списък.</x:v>
      </x:c>
    </x:row>
    <x:row r="43">
      <x:c r="A43" s="130" t="str">
        <x:v>ЖЕНСКИ И МЪЖКИ ДРЕХИ</x:v>
      </x:c>
      <x:c r="B43" s="130" t="n">
        <x:v>47</x:v>
      </x:c>
      <x:c r="C43" s="130" t="str">
        <x:v>JDY</x:v>
      </x:c>
      <x:c r="D43" s="130" t="str">
        <x:v>JDY</x:v>
      </x:c>
      <x:c r="E43" s="130" t="str">
        <x:v>Блуза JDY</x:v>
      </x:c>
      <x:c r="F43" s="130" t="str">
        <x:v>Блуза</x:v>
      </x:c>
      <x:c r="G43" s="130" t="str">
        <x:v>Марка и име са нормализирани; типът дреха е сверeн с оригиналния списък.</x:v>
      </x:c>
    </x:row>
    <x:row r="44">
      <x:c r="A44" s="130" t="str">
        <x:v>ЖЕНСКИ И МЪЖКИ ДРЕХИ</x:v>
      </x:c>
      <x:c r="B44" s="130" t="n">
        <x:v>48</x:v>
      </x:c>
      <x:c r="C44" s="130" t="str">
        <x:v>Pieces</x:v>
      </x:c>
      <x:c r="D44" s="130" t="str">
        <x:v>PIECES</x:v>
      </x:c>
      <x:c r="E44" s="130" t="str">
        <x:v>Рокля Pieces</x:v>
      </x:c>
      <x:c r="F44" s="130" t="str">
        <x:v>Рокля</x:v>
      </x:c>
      <x:c r="G44" s="130" t="str">
        <x:v>Марка и име са нормализирани; типът дреха е сверeн с оригиналния списък.</x:v>
      </x:c>
    </x:row>
    <x:row r="45">
      <x:c r="A45" s="130" t="str">
        <x:v>ЖЕНСКИ И МЪЖКИ ДРЕХИ</x:v>
      </x:c>
      <x:c r="B45" s="130" t="n">
        <x:v>49</x:v>
      </x:c>
      <x:c r="C45" s="130" t="str">
        <x:v>Prei Master</x:v>
      </x:c>
      <x:c r="D45" s="130" t="str">
        <x:v>DreiMaster</x:v>
      </x:c>
      <x:c r="E45" s="130" t="str">
        <x:v>Яке Drei Master</x:v>
      </x:c>
      <x:c r="F45" s="130" t="str">
        <x:v>Яке</x:v>
      </x:c>
      <x:c r="G45" s="130" t="str">
        <x:v>Марка и име са нормализирани; типът дреха е сверeн с оригиналния списък.</x:v>
      </x:c>
    </x:row>
    <x:row r="46">
      <x:c r="A46" s="130" t="str">
        <x:v>ЖЕНСКИ И МЪЖКИ ДРЕХИ</x:v>
      </x:c>
      <x:c r="B46" s="130" t="n">
        <x:v>50</x:v>
      </x:c>
      <x:c r="C46" s="130" t="str">
        <x:v>Pieces</x:v>
      </x:c>
      <x:c r="D46" s="130" t="str">
        <x:v>PIECES</x:v>
      </x:c>
      <x:c r="E46" s="130" t="str">
        <x:v>Блуза Vila</x:v>
      </x:c>
      <x:c r="F46" s="130" t="str">
        <x:v>Блуза</x:v>
      </x:c>
      <x:c r="G46" s="130" t="str">
        <x:v>Марка и име са нормализирани; типът дреха е сверeн с оригиналния списък.</x:v>
      </x:c>
    </x:row>
    <x:row r="47">
      <x:c r="A47" s="130" t="str">
        <x:v>ЖЕНСКИ И МЪЖКИ ДРЕХИ</x:v>
      </x:c>
      <x:c r="B47" s="130" t="n">
        <x:v>51</x:v>
      </x:c>
      <x:c r="C47" s="130" t="str">
        <x:v>Even And Odd</x:v>
      </x:c>
      <x:c r="D47" s="130" t="str">
        <x:v>Even&amp;Odd</x:v>
      </x:c>
      <x:c r="E47" s="130" t="str">
        <x:v>Пола Even&amp;Odd</x:v>
      </x:c>
      <x:c r="F47" s="130" t="str">
        <x:v>Пола</x:v>
      </x:c>
      <x:c r="G47" s="130" t="str">
        <x:v>Марка и име са нормализирани; типът дреха е сверeн с оригиналния списък.</x:v>
      </x:c>
    </x:row>
    <x:row r="48">
      <x:c r="A48" s="130" t="str">
        <x:v>ЖЕНСКИ И МЪЖКИ ДРЕХИ</x:v>
      </x:c>
      <x:c r="B48" s="130" t="n">
        <x:v>52</x:v>
      </x:c>
      <x:c r="C48" s="130" t="str">
        <x:v>Even And Odd</x:v>
      </x:c>
      <x:c r="D48" s="130" t="str">
        <x:v>Even&amp;Odd</x:v>
      </x:c>
      <x:c r="E48" s="130" t="str">
        <x:v>Туника Even&amp;Odd</x:v>
      </x:c>
      <x:c r="F48" s="130" t="str">
        <x:v>Туника</x:v>
      </x:c>
      <x:c r="G48" s="130" t="str">
        <x:v>Марка и име са нормализирани; типът дреха е сверeн с оригиналния списък.</x:v>
      </x:c>
    </x:row>
    <x:row r="49">
      <x:c r="A49" s="130" t="str">
        <x:v>ЖЕНСКИ И МЪЖКИ ДРЕХИ</x:v>
      </x:c>
      <x:c r="B49" s="130" t="n">
        <x:v>53</x:v>
      </x:c>
      <x:c r="C49" s="130" t="str">
        <x:v>Violeta</x:v>
      </x:c>
      <x:c r="D49" s="130" t="str">
        <x:v>Violeta by Mango</x:v>
      </x:c>
      <x:c r="E49" s="130" t="str">
        <x:v>Тениска Violeta by Mango</x:v>
      </x:c>
      <x:c r="F49" s="130" t="str">
        <x:v>Тениска</x:v>
      </x:c>
      <x:c r="G49" s="130" t="str">
        <x:v>Марка и име са нормализирани; типът дреха е сверeн с оригиналния списък.</x:v>
      </x:c>
    </x:row>
    <x:row r="50">
      <x:c r="A50" s="130" t="str">
        <x:v>ЖЕНСКИ И МЪЖКИ ДРЕХИ</x:v>
      </x:c>
      <x:c r="B50" s="130" t="n">
        <x:v>54</x:v>
      </x:c>
      <x:c r="C50" s="130" t="str">
        <x:v>Reebock</x:v>
      </x:c>
      <x:c r="D50" s="130" t="str">
        <x:v>Reebok</x:v>
      </x:c>
      <x:c r="E50" s="130" t="str">
        <x:v>Спортен Потник Reebok</x:v>
      </x:c>
      <x:c r="F50" s="130" t="str">
        <x:v>Спортен потник</x:v>
      </x:c>
      <x:c r="G50" s="130" t="str">
        <x:v>Марка и име са нормализирани; типът дреха е сверeн с оригиналния списък.</x:v>
      </x:c>
    </x:row>
    <x:row r="51">
      <x:c r="A51" s="130" t="str">
        <x:v>ЖЕНСКИ И МЪЖКИ ДРЕХИ</x:v>
      </x:c>
      <x:c r="B51" s="130" t="n">
        <x:v>55</x:v>
      </x:c>
      <x:c r="C51" s="130" t="str">
        <x:v>Noa Noa</x:v>
      </x:c>
      <x:c r="D51" s="130" t="str">
        <x:v>Noa Noa</x:v>
      </x:c>
      <x:c r="E51" s="130" t="str">
        <x:v>Рокля Noa Noa</x:v>
      </x:c>
      <x:c r="F51" s="130" t="str">
        <x:v>Рокля</x:v>
      </x:c>
      <x:c r="G51" s="130" t="str">
        <x:v>Марка и име са нормализирани; типът дреха е сверeн с оригиналния списък.</x:v>
      </x:c>
    </x:row>
    <x:row r="52">
      <x:c r="A52" s="130" t="str">
        <x:v>ЖЕНСКИ И МЪЖКИ ДРЕХИ</x:v>
      </x:c>
      <x:c r="B52" s="130" t="n">
        <x:v>56</x:v>
      </x:c>
      <x:c r="C52" s="130" t="str">
        <x:v>Even And Odd</x:v>
      </x:c>
      <x:c r="D52" s="130" t="str">
        <x:v>Even&amp;Odd</x:v>
      </x:c>
      <x:c r="E52" s="130" t="str">
        <x:v>Блузка JDY</x:v>
      </x:c>
      <x:c r="F52" s="130" t="str">
        <x:v>Туника</x:v>
      </x:c>
      <x:c r="G52" s="130" t="str">
        <x:v>Марка и име са нормализирани; типът дреха е сверeн с оригиналния списък.</x:v>
      </x:c>
    </x:row>
    <x:row r="53">
      <x:c r="A53" s="130" t="str">
        <x:v>ЖЕНСКИ И МЪЖКИ ДРЕХИ</x:v>
      </x:c>
      <x:c r="B53" s="130" t="n">
        <x:v>57</x:v>
      </x:c>
      <x:c r="C53" s="130" t="str">
        <x:v>Vila</x:v>
      </x:c>
      <x:c r="D53" s="130" t="str">
        <x:v>VILA</x:v>
      </x:c>
      <x:c r="E53" s="130" t="str">
        <x:v>Яке Vila</x:v>
      </x:c>
      <x:c r="F53" s="130" t="str">
        <x:v>Яке</x:v>
      </x:c>
      <x:c r="G53" s="130" t="str">
        <x:v>Марка и име са нормализирани; типът дреха е сверeн с оригиналния списък.</x:v>
      </x:c>
    </x:row>
    <x:row r="54">
      <x:c r="A54" s="130" t="str">
        <x:v>ЖЕНСКИ И МЪЖКИ ДРЕХИ</x:v>
      </x:c>
      <x:c r="B54" s="130" t="n">
        <x:v>58</x:v>
      </x:c>
      <x:c r="C54" s="130" t="str">
        <x:v>Only</x:v>
      </x:c>
      <x:c r="D54" s="130" t="str">
        <x:v>ONLY</x:v>
      </x:c>
      <x:c r="E54" s="130" t="str">
        <x:v>Блуза Only</x:v>
      </x:c>
      <x:c r="F54" s="130" t="str">
        <x:v>Блуза</x:v>
      </x:c>
      <x:c r="G54" s="130" t="str">
        <x:v>Марка и име са нормализирани; типът дреха е сверeн с оригиналния списък.</x:v>
      </x:c>
    </x:row>
    <x:row r="55">
      <x:c r="A55" s="130" t="str">
        <x:v>ЖЕНСКИ И МЪЖКИ ДРЕХИ</x:v>
      </x:c>
      <x:c r="B55" s="130" t="n">
        <x:v>59</x:v>
      </x:c>
      <x:c r="C55" s="130" t="str">
        <x:v>Only</x:v>
      </x:c>
      <x:c r="D55" s="130" t="str">
        <x:v>ONLY</x:v>
      </x:c>
      <x:c r="E55" s="130" t="str">
        <x:v>Потник</x:v>
      </x:c>
      <x:c r="F55" s="130" t="str">
        <x:v>Потник</x:v>
      </x:c>
      <x:c r="G55" s="130" t="str">
        <x:v>Марка и име са нормализирани; типът дреха е сверeн с оригиналния списък.</x:v>
      </x:c>
    </x:row>
    <x:row r="56">
      <x:c r="A56" s="130" t="str">
        <x:v>ЖЕНСКИ И МЪЖКИ ДРЕХИ</x:v>
      </x:c>
      <x:c r="B56" s="130" t="n">
        <x:v>60</x:v>
      </x:c>
      <x:c r="C56" s="130" t="str">
        <x:v>IceBreaker</x:v>
      </x:c>
      <x:c r="D56" s="130" t="str">
        <x:v>Icebreaker</x:v>
      </x:c>
      <x:c r="E56" s="130" t="str">
        <x:v>Спортен Потник Icebreaker</x:v>
      </x:c>
      <x:c r="F56" s="130" t="str">
        <x:v>Спортен потник</x:v>
      </x:c>
      <x:c r="G56" s="130" t="str">
        <x:v>Марка и име са нормализирани; типът дреха е сверeн с оригиналния списък.</x:v>
      </x:c>
    </x:row>
    <x:row r="57">
      <x:c r="A57" s="130" t="str">
        <x:v>ЖЕНСКИ И МЪЖКИ ДРЕХИ</x:v>
      </x:c>
      <x:c r="B57" s="130" t="n">
        <x:v>61</x:v>
      </x:c>
      <x:c r="C57" s="130" t="str">
        <x:v>Vila</x:v>
      </x:c>
      <x:c r="D57" s="130" t="str">
        <x:v>VILA</x:v>
      </x:c>
      <x:c r="E57" s="130" t="str">
        <x:v>Прозираща Блуза Vila</x:v>
      </x:c>
      <x:c r="F57" s="130" t="str">
        <x:v>Прозираща блуза</x:v>
      </x:c>
      <x:c r="G57" s="130" t="str">
        <x:v>Марка и име са нормализирани; типът дреха е сверeн с оригиналния списък.</x:v>
      </x:c>
    </x:row>
    <x:row r="58">
      <x:c r="A58" s="130" t="str">
        <x:v>ЖЕНСКИ И МЪЖКИ ДРЕХИ</x:v>
      </x:c>
      <x:c r="B58" s="130" t="n">
        <x:v>62</x:v>
      </x:c>
      <x:c r="C58" s="130" t="str">
        <x:v>O'neil</x:v>
      </x:c>
      <x:c r="D58" s="130" t="str">
        <x:v>O'Neill</x:v>
      </x:c>
      <x:c r="E58" s="130" t="str">
        <x:v>Вълнено Палто</x:v>
      </x:c>
      <x:c r="F58" s="130" t="str">
        <x:v>Вълнено палто</x:v>
      </x:c>
      <x:c r="G58" s="130" t="str">
        <x:v>Марка и име са нормализирани; типът дреха е сверeн с оригиналния списък.</x:v>
      </x:c>
    </x:row>
    <x:row r="59">
      <x:c r="A59" s="130" t="str">
        <x:v>ЖЕНСКИ И МЪЖКИ ДРЕХИ</x:v>
      </x:c>
      <x:c r="B59" s="130" t="n">
        <x:v>63</x:v>
      </x:c>
      <x:c r="C59" s="130" t="str">
        <x:v>Closed</x:v>
      </x:c>
      <x:c r="D59" s="130" t="str">
        <x:v>CLOSED</x:v>
      </x:c>
      <x:c r="E59" s="130" t="str">
        <x:v>Рокля Vila</x:v>
      </x:c>
      <x:c r="F59" s="130" t="str">
        <x:v>Рокля</x:v>
      </x:c>
      <x:c r="G59" s="130" t="str">
        <x:v>Марка и име са нормализирани; типът дреха е сверeн с оригиналния списък.</x:v>
      </x:c>
    </x:row>
    <x:row r="60">
      <x:c r="A60" s="130" t="str">
        <x:v>ЖЕНСКИ И МЪЖКИ ДРЕХИ</x:v>
      </x:c>
      <x:c r="B60" s="130" t="n">
        <x:v>64</x:v>
      </x:c>
      <x:c r="C60" s="130" t="str">
        <x:v>Reebock</x:v>
      </x:c>
      <x:c r="D60" s="130" t="str">
        <x:v>Reebok</x:v>
      </x:c>
      <x:c r="E60" s="130" t="str">
        <x:v>Спортен Клин Reebok</x:v>
      </x:c>
      <x:c r="F60" s="130" t="str">
        <x:v>Спортен клин</x:v>
      </x:c>
      <x:c r="G60" s="130" t="str">
        <x:v>Марка и име са нормализирани; типът дреха е сверeн с оригиналния списък.</x:v>
      </x:c>
    </x:row>
    <x:row r="61">
      <x:c r="A61" s="130" t="str">
        <x:v>ЖЕНСКИ И МЪЖКИ ДРЕХИ</x:v>
      </x:c>
      <x:c r="B61" s="130" t="n">
        <x:v>66</x:v>
      </x:c>
      <x:c r="C61" s="130" t="str">
        <x:v>Even And Odd</x:v>
      </x:c>
      <x:c r="D61" s="130" t="str">
        <x:v>Even&amp;Odd</x:v>
      </x:c>
      <x:c r="E61" s="130" t="str">
        <x:v>Къса Пола</x:v>
      </x:c>
      <x:c r="F61" s="130" t="str">
        <x:v>Къса пола</x:v>
      </x:c>
      <x:c r="G61" s="130" t="str">
        <x:v>Марка и име са нормализирани; типът дреха е сверeн с оригиналния списък.</x:v>
      </x:c>
    </x:row>
    <x:row r="62">
      <x:c r="A62" s="130" t="str">
        <x:v>ЖЕНСКИ И МЪЖКИ ДРЕХИ</x:v>
      </x:c>
      <x:c r="B62" s="130" t="n">
        <x:v>67</x:v>
      </x:c>
      <x:c r="C62" s="130" t="str">
        <x:v>Nu-In</x:v>
      </x:c>
      <x:c r="D62" s="130" t="str">
        <x:v>NU-IN</x:v>
      </x:c>
      <x:c r="E62" s="130" t="str">
        <x:v>Бюстие</x:v>
      </x:c>
      <x:c r="F62" s="130" t="str">
        <x:v>Бюстие</x:v>
      </x:c>
      <x:c r="G62" s="130" t="str">
        <x:v>Марка и име са нормализирани; типът дреха е сверeн с оригиналния списък.</x:v>
      </x:c>
    </x:row>
    <x:row r="63">
      <x:c r="A63" s="130" t="str">
        <x:v>ЖЕНСКИ И МЪЖКИ ДРЕХИ</x:v>
      </x:c>
      <x:c r="B63" s="130" t="n">
        <x:v>68</x:v>
      </x:c>
      <x:c r="C63" s="130"/>
      <x:c r="D63" s="130" t="str">
        <x:v>NU-IN</x:v>
      </x:c>
      <x:c r="E63" s="130" t="str">
        <x:v>Потник NIU-IN</x:v>
      </x:c>
      <x:c r="F63" s="130" t="str">
        <x:v>Потник</x:v>
      </x:c>
      <x:c r="G63" s="130" t="str">
        <x:v>Марка и име са нормализирани; типът дреха е сверeн с оригиналния списък.</x:v>
      </x:c>
    </x:row>
    <x:row r="64">
      <x:c r="A64" s="130" t="str">
        <x:v>ДЕЦКИ ДРЕХИ</x:v>
      </x:c>
      <x:c r="B64" s="130" t="n">
        <x:v>3</x:v>
      </x:c>
      <x:c r="C64" s="130" t="str">
        <x:v>Minoti</x:v>
      </x:c>
      <x:c r="D64" s="130" t="str">
        <x:v>Minoti</x:v>
      </x:c>
      <x:c r="E64" s="130" t="str">
        <x:v>Зимно Яке С Пух</x:v>
      </x:c>
      <x:c r="F64" s="130" t="str">
        <x:v>Зимно яке с пух</x:v>
      </x:c>
      <x:c r="G64" s="130" t="str">
        <x:v>Коригирани правопис/формат; неясните описания от оригиналния списък са запазени като неуточнени.</x:v>
      </x:c>
    </x:row>
    <x:row r="65">
      <x:c r="A65" s="130" t="str">
        <x:v>ДЕЦКИ ДРЕХИ</x:v>
      </x:c>
      <x:c r="B65" s="130" t="n">
        <x:v>5</x:v>
      </x:c>
      <x:c r="C65" s="130" t="str">
        <x:v>Minoti</x:v>
      </x:c>
      <x:c r="D65" s="130" t="str">
        <x:v>Minoti</x:v>
      </x:c>
      <x:c r="E65" s="130" t="str">
        <x:v>Къси Дънки</x:v>
      </x:c>
      <x:c r="F65" s="130" t="str">
        <x:v>Къси дънки</x:v>
      </x:c>
      <x:c r="G65" s="130" t="str">
        <x:v>Коригирани правопис/формат; неясните описания от оригиналния списък са запазени като неуточнени.</x:v>
      </x:c>
    </x:row>
    <x:row r="66">
      <x:c r="A66" s="130" t="str">
        <x:v>ДЕЦКИ ДРЕХИ</x:v>
      </x:c>
      <x:c r="B66" s="130" t="n">
        <x:v>9</x:v>
      </x:c>
      <x:c r="C66" s="130" t="str">
        <x:v>Minoti</x:v>
      </x:c>
      <x:c r="D66" s="130" t="str">
        <x:v>Minoti</x:v>
      </x:c>
      <x:c r="E66" s="130" t="str">
        <x:v>Тениска Поло</x:v>
      </x:c>
      <x:c r="F66" s="130" t="str">
        <x:v>Поло тениска</x:v>
      </x:c>
      <x:c r="G66" s="130" t="str">
        <x:v>Коригирани правопис/формат; неясните описания от оригиналния списък са запазени като неуточнени.</x:v>
      </x:c>
    </x:row>
    <x:row r="67">
      <x:c r="A67" s="130" t="str">
        <x:v>ДЕЦКИ ДРЕХИ</x:v>
      </x:c>
      <x:c r="B67" s="130" t="n">
        <x:v>11</x:v>
      </x:c>
      <x:c r="C67" s="130" t="str">
        <x:v>Minoti</x:v>
      </x:c>
      <x:c r="D67" s="130" t="str">
        <x:v>Minoti</x:v>
      </x:c>
      <x:c r="E67" s="130" t="str">
        <x:v>Блузака</x:v>
      </x:c>
      <x:c r="F67" s="130" t="str">
        <x:v>Блузка</x:v>
      </x:c>
      <x:c r="G67" s="130" t="str">
        <x:v>Коригирани правопис/формат; неясните описания от оригиналния списък са запазени като неуточнени.</x:v>
      </x:c>
    </x:row>
    <x:row r="68">
      <x:c r="A68" s="130" t="str">
        <x:v>ДЕЦКИ ДРЕХИ</x:v>
      </x:c>
      <x:c r="B68" s="130" t="n">
        <x:v>12</x:v>
      </x:c>
      <x:c r="C68" s="130" t="str">
        <x:v>Minoti</x:v>
      </x:c>
      <x:c r="D68" s="130" t="str">
        <x:v>Minoti</x:v>
      </x:c>
      <x:c r="E68" s="130" t="str">
        <x:v>Дънкова Риза Къс Ракав</x:v>
      </x:c>
      <x:c r="F68" s="130" t="str">
        <x:v>Дънкова риза с къс ръкав</x:v>
      </x:c>
      <x:c r="G68" s="130" t="str">
        <x:v>Коригирани правопис/формат; неясните описания от оригиналния списък са запазени като неуточнени.</x:v>
      </x:c>
    </x:row>
    <x:row r="69">
      <x:c r="A69" s="130" t="str">
        <x:v>ДЕЦКИ ДРЕХИ</x:v>
      </x:c>
      <x:c r="B69" s="130" t="n">
        <x:v>22</x:v>
      </x:c>
      <x:c r="C69" s="130" t="str">
        <x:v>Minoti</x:v>
      </x:c>
      <x:c r="D69" s="130" t="str">
        <x:v>Minoti</x:v>
      </x:c>
      <x:c r="E69" s="130" t="str">
        <x:v>Тениска Love Summer</x:v>
      </x:c>
      <x:c r="F69" s="130" t="str">
        <x:v>Тениска "Love Summer"</x:v>
      </x:c>
      <x:c r="G69" s="130" t="str">
        <x:v>Коригирани правопис/формат; неясните описания от оригиналния списък са запазени като неуточнени.</x:v>
      </x:c>
    </x:row>
    <x:row r="70">
      <x:c r="A70" s="130" t="str">
        <x:v>ДЕЦКИ ДРЕХИ</x:v>
      </x:c>
      <x:c r="B70" s="130" t="n">
        <x:v>24</x:v>
      </x:c>
      <x:c r="C70" s="130" t="str">
        <x:v>Minoti</x:v>
      </x:c>
      <x:c r="D70" s="130" t="str">
        <x:v>Minoti</x:v>
      </x:c>
      <x:c r="E70" s="130" t="str">
        <x:v>Къси Панталони</x:v>
      </x:c>
      <x:c r="F70" s="130" t="str">
        <x:v>Къси панталони</x:v>
      </x:c>
      <x:c r="G70" s="130" t="str">
        <x:v>Коригирани правопис/формат; неясните описания от оригиналния списък са запазени като неуточнени.</x:v>
      </x:c>
    </x:row>
    <x:row r="71">
      <x:c r="A71" s="130" t="str">
        <x:v>ДЕЦКИ ДРЕХИ</x:v>
      </x:c>
      <x:c r="B71" s="130" t="n">
        <x:v>33</x:v>
      </x:c>
      <x:c r="C71" s="130" t="str">
        <x:v>Minoti</x:v>
      </x:c>
      <x:c r="D71" s="130" t="str">
        <x:v>Minoti</x:v>
      </x:c>
      <x:c r="E71" s="130" t="str">
        <x:v>Двойни Рокли?</x:v>
      </x:c>
      <x:c r="F71" s="130" t="str">
        <x:v>2 рокли (комплект?)</x:v>
      </x:c>
      <x:c r="G71" s="130" t="str">
        <x:v>Коригирани правопис/формат; неясните описания от оригиналния списък са запазени като неуточнени.</x:v>
      </x:c>
    </x:row>
    <x:row r="72">
      <x:c r="A72" s="130" t="str">
        <x:v>ДЕЦКИ ДРЕХИ</x:v>
      </x:c>
      <x:c r="B72" s="130" t="n">
        <x:v>36</x:v>
      </x:c>
      <x:c r="C72" s="130" t="str">
        <x:v>Minoti</x:v>
      </x:c>
      <x:c r="D72" s="130" t="str">
        <x:v>Minoti</x:v>
      </x:c>
      <x:c r="E72" s="130" t="str">
        <x:v>Двойни Рокли?</x:v>
      </x:c>
      <x:c r="F72" s="130" t="str">
        <x:v>2 рокли (комплект?)</x:v>
      </x:c>
      <x:c r="G72" s="130" t="str">
        <x:v>Коригирани правопис/формат; неясните описания от оригиналния списък са запазени като неуточнени.</x:v>
      </x:c>
    </x:row>
    <x:row r="73">
      <x:c r="A73" s="130" t="str">
        <x:v>ДЕЦКИ ДРЕХИ</x:v>
      </x:c>
      <x:c r="B73" s="130" t="n">
        <x:v>37</x:v>
      </x:c>
      <x:c r="C73" s="130" t="str">
        <x:v>Minoti</x:v>
      </x:c>
      <x:c r="D73" s="130" t="str">
        <x:v>Minoti</x:v>
      </x:c>
      <x:c r="E73" s="130" t="str">
        <x:v>Двоййни Шапки?</x:v>
      </x:c>
      <x:c r="F73" s="130" t="str">
        <x:v>2 шапки (комплект?)</x:v>
      </x:c>
      <x:c r="G73" s="130" t="str">
        <x:v>Коригирани правопис/формат; неясните описания от оригиналния списък са запазени като неуточнени.</x:v>
      </x:c>
    </x:row>
    <x:row r="74">
      <x:c r="A74" s="130" t="str">
        <x:v>ДЕЦКИ ДРЕХИ</x:v>
      </x:c>
      <x:c r="B74" s="130" t="n">
        <x:v>39</x:v>
      </x:c>
      <x:c r="C74" s="130" t="str">
        <x:v>Minoti</x:v>
      </x:c>
      <x:c r="D74" s="130" t="str">
        <x:v>Minoti</x:v>
      </x:c>
      <x:c r="E74" s="130" t="str">
        <x:v>Клинче</x:v>
      </x:c>
      <x:c r="F74" s="130" t="str">
        <x:v>Клин</x:v>
      </x:c>
      <x:c r="G74" s="130" t="str">
        <x:v>Коригирани правопис/формат; неясните описания от оригиналния списък са запазени като неуточнени.</x:v>
      </x:c>
    </x:row>
    <x:row r="75">
      <x:c r="A75" s="130" t="str">
        <x:v>ДЕЦКИ ДРЕХИ</x:v>
      </x:c>
      <x:c r="B75" s="130" t="n">
        <x:v>40</x:v>
      </x:c>
      <x:c r="C75" s="130" t="str">
        <x:v>Minoti</x:v>
      </x:c>
      <x:c r="D75" s="130" t="str">
        <x:v>Minoti</x:v>
      </x:c>
      <x:c r="E75" s="130" t="str">
        <x:v>Клинче</x:v>
      </x:c>
      <x:c r="F75" s="130" t="str">
        <x:v>Клин</x:v>
      </x:c>
      <x:c r="G75" s="130" t="str">
        <x:v>Коригирани правопис/формат; неясните описания от оригиналния списък са запазени като неуточнени.</x:v>
      </x:c>
    </x:row>
    <x:row r="76">
      <x:c r="A76" s="130" t="str">
        <x:v>ДЕЦКИ ДРЕХИ</x:v>
      </x:c>
      <x:c r="B76" s="130" t="n">
        <x:v>43</x:v>
      </x:c>
      <x:c r="C76" s="130" t="str">
        <x:v>Minoti</x:v>
      </x:c>
      <x:c r="D76" s="130" t="str">
        <x:v>Minoti</x:v>
      </x:c>
      <x:c r="E76" s="130" t="str">
        <x:v>4 Ромпърг</x:v>
      </x:c>
      <x:c r="F76" s="130" t="str">
        <x:v>Комплект от 4 ромпъра</x:v>
      </x:c>
      <x:c r="G76" s="130" t="str">
        <x:v>Коригирани правопис/формат; неясните описания от оригиналния списък са запазени като неуточнени.</x:v>
      </x:c>
    </x:row>
    <x:row r="77">
      <x:c r="A77" s="130" t="str">
        <x:v>ДЕЦКИ ДРЕХИ</x:v>
      </x:c>
      <x:c r="B77" s="130" t="n">
        <x:v>44</x:v>
      </x:c>
      <x:c r="C77" s="130" t="str">
        <x:v>Minoti</x:v>
      </x:c>
      <x:c r="D77" s="130" t="str">
        <x:v>Minoti</x:v>
      </x:c>
      <x:c r="E77" s="130" t="str">
        <x:v>Шапки</x:v>
      </x:c>
      <x:c r="F77" s="130" t="str">
        <x:v>Комплект от 2 шапки</x:v>
      </x:c>
      <x:c r="G77" s="130" t="str">
        <x:v>Коригирани правопис/формат; неясните описания от оригиналния списък са запазени като неуточнени.</x:v>
      </x:c>
    </x:row>
    <x:row r="78">
      <x:c r="A78" s="130" t="str">
        <x:v>ДЕЦКИ ДРЕХИ</x:v>
      </x:c>
      <x:c r="B78" s="130" t="n">
        <x:v>47</x:v>
      </x:c>
      <x:c r="C78" s="130" t="str">
        <x:v>Minoti</x:v>
      </x:c>
      <x:c r="D78" s="130" t="str">
        <x:v>Minoti</x:v>
      </x:c>
      <x:c r="E78" s="130" t="str">
        <x:v>5 Пликчета</x:v>
      </x:c>
      <x:c r="F78" s="130" t="str">
        <x:v>Комплект от 5 пликчета</x:v>
      </x:c>
      <x:c r="G78" s="130" t="str">
        <x:v>Коригирани правопис/формат; неясните описания от оригиналния списък са запазени като неуточнени.</x:v>
      </x:c>
    </x:row>
    <x:row r="79">
      <x:c r="A79" s="130" t="str">
        <x:v>ДЕЦКИ ДРЕХИ</x:v>
      </x:c>
      <x:c r="B79" s="130" t="n">
        <x:v>48</x:v>
      </x:c>
      <x:c r="C79" s="130" t="str">
        <x:v>Minoti</x:v>
      </x:c>
      <x:c r="D79" s="130" t="str">
        <x:v>Minoti</x:v>
      </x:c>
      <x:c r="E79" s="130" t="str">
        <x:v>Блузка LOVE</x:v>
      </x:c>
      <x:c r="F79" s="130" t="str">
        <x:v>Блузка "LOVE"</x:v>
      </x:c>
      <x:c r="G79" s="130" t="str">
        <x:v>Коригирани правопис/формат; неясните описания от оригиналния списък са запазени като неуточнени.</x:v>
      </x:c>
    </x:row>
    <x:row r="80">
      <x:c r="A80" s="130" t="str">
        <x:v>ДЕЦКИ ДРЕХИ</x:v>
      </x:c>
      <x:c r="B80" s="130" t="n">
        <x:v>49</x:v>
      </x:c>
      <x:c r="C80" s="130" t="str">
        <x:v>Minoti</x:v>
      </x:c>
      <x:c r="D80" s="130" t="str">
        <x:v>Minoti</x:v>
      </x:c>
      <x:c r="E80" s="130" t="str">
        <x:v>Комплект Бодита</x:v>
      </x:c>
      <x:c r="F80" s="130" t="str">
        <x:v>Комплект бодита</x:v>
      </x:c>
      <x:c r="G80" s="130" t="str">
        <x:v>Коригирани правопис/формат; неясните описания от оригиналния списък са запазени като неуточнени.</x:v>
      </x:c>
    </x:row>
    <x:row r="81">
      <x:c r="A81" s="130" t="str">
        <x:v>ДЕЦКИ ДРЕХИ</x:v>
      </x:c>
      <x:c r="B81" s="130" t="n">
        <x:v>56</x:v>
      </x:c>
      <x:c r="C81" s="130" t="str">
        <x:v>Minoti</x:v>
      </x:c>
      <x:c r="D81" s="130" t="str">
        <x:v>Minoti</x:v>
      </x:c>
      <x:c r="E81" s="130" t="str">
        <x:v>3 Чифта Чорапи</x:v>
      </x:c>
      <x:c r="F81" s="130" t="str">
        <x:v>3 чифта чорапи</x:v>
      </x:c>
      <x:c r="G81" s="130" t="str">
        <x:v>Коригирани правопис/формат; неясните описания от оригиналния списък са запазени като неуточнени.</x:v>
      </x:c>
    </x:row>
    <x:row r="82">
      <x:c r="A82" s="130" t="str">
        <x:v>ДЕЦКИ ДРЕХИ</x:v>
      </x:c>
      <x:c r="B82" s="130" t="n">
        <x:v>57</x:v>
      </x:c>
      <x:c r="C82" s="130" t="str">
        <x:v>Minoti</x:v>
      </x:c>
      <x:c r="D82" s="130" t="str">
        <x:v>Minoti</x:v>
      </x:c>
      <x:c r="E82" s="130" t="str">
        <x:v>Къси Панталони</x:v>
      </x:c>
      <x:c r="F82" s="130" t="str">
        <x:v>Къси панталони</x:v>
      </x:c>
      <x:c r="G82" s="130" t="str">
        <x:v>Коригирани правопис/формат; неясните описания от оригиналния списък са запазени като неуточнени.</x:v>
      </x:c>
    </x:row>
    <x:row r="83">
      <x:c r="A83" s="130" t="str">
        <x:v>ДЕЦКИ ДРЕХИ</x:v>
      </x:c>
      <x:c r="B83" s="130" t="n">
        <x:v>58</x:v>
      </x:c>
      <x:c r="C83" s="130" t="str">
        <x:v>Minoti</x:v>
      </x:c>
      <x:c r="D83" s="130" t="str">
        <x:v>Minoti</x:v>
      </x:c>
      <x:c r="E83" s="130" t="str">
        <x:v>Къси Панталони</x:v>
      </x:c>
      <x:c r="F83" s="130" t="str">
        <x:v>Къси панталони</x:v>
      </x:c>
      <x:c r="G83" s="130" t="str">
        <x:v>Коригирани правопис/формат; неясните описания от оригиналния списък са запазени като неуточнени.</x:v>
      </x:c>
    </x:row>
    <x:row r="84">
      <x:c r="A84" s="130" t="str">
        <x:v>ДЕЦКИ ДРЕХИ</x:v>
      </x:c>
      <x:c r="B84" s="130" t="n">
        <x:v>61</x:v>
      </x:c>
      <x:c r="C84" s="130" t="str">
        <x:v>Minoti</x:v>
      </x:c>
      <x:c r="D84" s="130" t="str">
        <x:v>Minoti</x:v>
      </x:c>
      <x:c r="E84" s="130" t="str">
        <x:v>Къси Панталони</x:v>
      </x:c>
      <x:c r="F84" s="130" t="str">
        <x:v>Къси панталони</x:v>
      </x:c>
      <x:c r="G84" s="130" t="str">
        <x:v>Коригирани правопис/формат; неясните описания от оригиналния списък са запазени като неуточнени.</x:v>
      </x:c>
    </x:row>
    <x:row r="85">
      <x:c r="A85" s="130" t="str">
        <x:v>ДЕЦКИ ДРЕХИ</x:v>
      </x:c>
      <x:c r="B85" s="130" t="n">
        <x:v>63</x:v>
      </x:c>
      <x:c r="C85" s="130" t="str">
        <x:v>Minoti</x:v>
      </x:c>
      <x:c r="D85" s="130" t="str">
        <x:v>Minoti</x:v>
      </x:c>
      <x:c r="E85" s="130" t="str">
        <x:v>Клинче</x:v>
      </x:c>
      <x:c r="F85" s="130" t="str">
        <x:v>Клин</x:v>
      </x:c>
      <x:c r="G85" s="130" t="str">
        <x:v>Коригирани правопис/формат; неясните описания от оригиналния списък са запазени като неуточнени.</x:v>
      </x:c>
    </x:row>
    <x:row r="86">
      <x:c r="A86" s="130" t="str">
        <x:v>ДЕЦКИ ДРЕХИ</x:v>
      </x:c>
      <x:c r="B86" s="130" t="n">
        <x:v>66</x:v>
      </x:c>
      <x:c r="C86" s="130" t="str">
        <x:v>Minoti</x:v>
      </x:c>
      <x:c r="D86" s="130" t="str">
        <x:v>Minoti</x:v>
      </x:c>
      <x:c r="E86" s="130" t="str">
        <x:v>Къси Панталони</x:v>
      </x:c>
      <x:c r="F86" s="130" t="str">
        <x:v>Къси панталони</x:v>
      </x:c>
      <x:c r="G86" s="130" t="str">
        <x:v>Коригирани правопис/формат; неясните описания от оригиналния списък са запазени като неуточнени.</x:v>
      </x:c>
    </x:row>
    <x:row r="87">
      <x:c r="A87" s="130" t="str">
        <x:v>ДЕЦКИ ДРЕХИ</x:v>
      </x:c>
      <x:c r="B87" s="130" t="n">
        <x:v>76</x:v>
      </x:c>
      <x:c r="C87" s="130" t="str">
        <x:v>Minoti</x:v>
      </x:c>
      <x:c r="D87" s="130" t="str">
        <x:v>Minoti</x:v>
      </x:c>
      <x:c r="E87" s="130" t="str">
        <x:v>Панталони Дънки</x:v>
      </x:c>
      <x:c r="F87" s="130" t="str">
        <x:v>Дънки</x:v>
      </x:c>
      <x:c r="G87" s="130" t="str">
        <x:v>Коригирани правопис/формат; неясните описания от оригиналния списък са запазени като неуточнени.</x:v>
      </x:c>
    </x:row>
    <x:row r="88">
      <x:c r="A88" s="130" t="str">
        <x:v>ДЕЦКИ ДРЕХИ</x:v>
      </x:c>
      <x:c r="B88" s="130" t="n">
        <x:v>77</x:v>
      </x:c>
      <x:c r="C88" s="130" t="str">
        <x:v>Minoti</x:v>
      </x:c>
      <x:c r="D88" s="130" t="str">
        <x:v>Minoti</x:v>
      </x:c>
      <x:c r="E88" s="130" t="str">
        <x:v>Тънко Яке</x:v>
      </x:c>
      <x:c r="F88" s="130" t="str">
        <x:v>Тънко яке</x:v>
      </x:c>
      <x:c r="G88" s="130" t="str">
        <x:v>Коригирани правопис/формат; неясните описания от оригиналния списък са запазени като неуточнени.</x:v>
      </x:c>
    </x:row>
    <x:row r="89">
      <x:c r="A89" s="130" t="str">
        <x:v>ДЕЦКИ ДРЕХИ</x:v>
      </x:c>
      <x:c r="B89" s="130" t="n">
        <x:v>78</x:v>
      </x:c>
      <x:c r="C89" s="130" t="str">
        <x:v>Minoti</x:v>
      </x:c>
      <x:c r="D89" s="130" t="str">
        <x:v>Minoti</x:v>
      </x:c>
      <x:c r="E89" s="130" t="str">
        <x:v>Комплект С Динозавър</x:v>
      </x:c>
      <x:c r="F89" s="130" t="str">
        <x:v>Комплект с динозавър</x:v>
      </x:c>
      <x:c r="G89" s="130" t="str">
        <x:v>Коригирани правопис/формат; неясните описания от оригиналния списък са запазени като неуточнени.</x:v>
      </x:c>
    </x:row>
    <x:row r="90">
      <x:c r="A90" s="130" t="str">
        <x:v>ДЕЦКИ ДРЕХИ</x:v>
      </x:c>
      <x:c r="B90" s="130" t="n">
        <x:v>79</x:v>
      </x:c>
      <x:c r="C90" s="130" t="str">
        <x:v>Minoti</x:v>
      </x:c>
      <x:c r="D90" s="130" t="str">
        <x:v>Minoti</x:v>
      </x:c>
      <x:c r="E90" s="130" t="str">
        <x:v>3 Чифта Чорапи</x:v>
      </x:c>
      <x:c r="F90" s="130" t="str">
        <x:v>3 чифта чорапи</x:v>
      </x:c>
      <x:c r="G90" s="130" t="str">
        <x:v>Коригирани правопис/формат; неясните описания от оригиналния списък са запазени като неуточнени.</x:v>
      </x:c>
    </x:row>
    <x:row r="91">
      <x:c r="A91" s="130" t="str">
        <x:v>ДЕЦКИ ДРЕХИ</x:v>
      </x:c>
      <x:c r="B91" s="130" t="n">
        <x:v>82</x:v>
      </x:c>
      <x:c r="C91" s="130" t="str">
        <x:v>Minoti</x:v>
      </x:c>
      <x:c r="D91" s="130" t="str">
        <x:v>Minoti</x:v>
      </x:c>
      <x:c r="E91" s="130" t="str">
        <x:v>3 Чифта Чорапи</x:v>
      </x:c>
      <x:c r="F91" s="130" t="str">
        <x:v>3 чифта чорапи</x:v>
      </x:c>
      <x:c r="G91" s="130" t="str">
        <x:v>Коригирани правопис/формат; неясните описания от оригиналния списък са запазени като неуточнени.</x:v>
      </x:c>
    </x:row>
    <x:row r="92">
      <x:c r="A92" s="130" t="str">
        <x:v>ДЕЦКИ ДРЕХИ</x:v>
      </x:c>
      <x:c r="B92" s="130" t="n">
        <x:v>93</x:v>
      </x:c>
      <x:c r="C92" s="130" t="str">
        <x:v>Minoti</x:v>
      </x:c>
      <x:c r="D92" s="130" t="str">
        <x:v>Minoti</x:v>
      </x:c>
      <x:c r="E92" s="130" t="str">
        <x:v>Къса Блузка</x:v>
      </x:c>
      <x:c r="F92" s="130" t="str">
        <x:v>Къса блузка</x:v>
      </x:c>
      <x:c r="G92" s="130" t="str">
        <x:v>Коригирани правопис/формат; неясните описания от оригиналния списък са запазени като неуточнени.</x:v>
      </x:c>
    </x:row>
    <x:row r="93">
      <x:c r="A93" s="130" t="str">
        <x:v>ДЕЦКИ ДРЕХИ</x:v>
      </x:c>
      <x:c r="B93" s="130" t="n">
        <x:v>95</x:v>
      </x:c>
      <x:c r="C93" s="130" t="str">
        <x:v>Minoti</x:v>
      </x:c>
      <x:c r="D93" s="130" t="str">
        <x:v>Minoti</x:v>
      </x:c>
      <x:c r="E93" s="130" t="str">
        <x:v>5 Чифта Чорапи</x:v>
      </x:c>
      <x:c r="F93" s="130" t="str">
        <x:v>5 чифта чорапи</x:v>
      </x:c>
      <x:c r="G93" s="130" t="str">
        <x:v>Коригирани правопис/формат; неясните описания от оригиналния списък са запазени като неуточнени.</x:v>
      </x:c>
    </x:row>
  </x:sheetData>
  <x:pageMargins left="0.7" right="0.7" top="0.75" bottom="0.75" header="0.3" footer="0.3"/>
</x:worksheet>
</file>